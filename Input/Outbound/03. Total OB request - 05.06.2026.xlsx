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 Learning\"/>
    </mc:Choice>
  </mc:AlternateContent>
  <xr:revisionPtr revIDLastSave="0" documentId="13_ncr:1_{DDE7653D-FA22-4B96-943D-719DD24E8FD6}" xr6:coauthVersionLast="47" xr6:coauthVersionMax="47" xr10:uidLastSave="{00000000-0000-0000-0000-000000000000}"/>
  <bookViews>
    <workbookView xWindow="-110" yWindow="-110" windowWidth="25820" windowHeight="15500" tabRatio="746" xr2:uid="{7E9943A3-A868-4900-9880-FF41B483368D}"/>
  </bookViews>
  <sheets>
    <sheet name="05.06.2026" sheetId="16" r:id="rId1"/>
    <sheet name="Master data" sheetId="6" state="hidden" r:id="rId2"/>
    <sheet name="PO1-0626" sheetId="44" state="hidden" r:id="rId3"/>
    <sheet name="PO2-0626" sheetId="45" state="hidden" r:id="rId4"/>
    <sheet name="List address" sheetId="12" state="hidden" r:id="rId5"/>
  </sheets>
  <definedNames>
    <definedName name="_xlnm._FilterDatabase" localSheetId="0" hidden="1">'05.06.2026'!#REF!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6" l="1"/>
  <c r="N14" i="16"/>
  <c r="O13" i="16"/>
  <c r="N13" i="16"/>
  <c r="H17" i="16"/>
  <c r="O16" i="16"/>
  <c r="N16" i="16"/>
  <c r="O15" i="16"/>
  <c r="N15" i="16"/>
  <c r="O12" i="16"/>
  <c r="N12" i="16"/>
  <c r="O11" i="16"/>
  <c r="N11" i="16"/>
  <c r="H7" i="16"/>
  <c r="O6" i="16"/>
  <c r="N6" i="16"/>
  <c r="O5" i="16"/>
  <c r="N5" i="16"/>
  <c r="O4" i="16"/>
  <c r="N4" i="16"/>
  <c r="O3" i="16"/>
  <c r="N3" i="16"/>
  <c r="O17" i="16" l="1"/>
  <c r="O7" i="16"/>
  <c r="Y17" i="6"/>
  <c r="W17" i="6"/>
  <c r="X17" i="6" s="1"/>
  <c r="V17" i="6"/>
  <c r="AA17" i="6" s="1"/>
  <c r="AE17" i="6" s="1"/>
  <c r="R17" i="6"/>
  <c r="Q17" i="6"/>
  <c r="N17" i="6"/>
  <c r="AB16" i="6"/>
  <c r="AF16" i="6" s="1"/>
  <c r="AA16" i="6"/>
  <c r="AE16" i="6" s="1"/>
  <c r="Y16" i="6"/>
  <c r="X16" i="6"/>
  <c r="W16" i="6"/>
  <c r="V16" i="6"/>
  <c r="R16" i="6"/>
  <c r="Q16" i="6"/>
  <c r="N16" i="6"/>
  <c r="AB15" i="6"/>
  <c r="AF15" i="6" s="1"/>
  <c r="Y15" i="6"/>
  <c r="W15" i="6"/>
  <c r="X15" i="6" s="1"/>
  <c r="V15" i="6"/>
  <c r="AA15" i="6" s="1"/>
  <c r="AE15" i="6" s="1"/>
  <c r="R15" i="6"/>
  <c r="Q15" i="6"/>
  <c r="N15" i="6"/>
  <c r="Y14" i="6"/>
  <c r="W14" i="6"/>
  <c r="AB14" i="6" s="1"/>
  <c r="AF14" i="6" s="1"/>
  <c r="V14" i="6"/>
  <c r="AA14" i="6" s="1"/>
  <c r="AE14" i="6" s="1"/>
  <c r="R14" i="6"/>
  <c r="Q14" i="6"/>
  <c r="N14" i="6"/>
  <c r="D13" i="6"/>
  <c r="Y8" i="6"/>
  <c r="W8" i="6"/>
  <c r="U8" i="6"/>
  <c r="S8" i="6"/>
  <c r="J8" i="6"/>
  <c r="Q8" i="6" s="1"/>
  <c r="I8" i="6"/>
  <c r="Y7" i="6"/>
  <c r="W7" i="6"/>
  <c r="U7" i="6"/>
  <c r="S7" i="6"/>
  <c r="J7" i="6"/>
  <c r="Q7" i="6" s="1"/>
  <c r="I7" i="6"/>
  <c r="Y6" i="6"/>
  <c r="W6" i="6"/>
  <c r="U6" i="6"/>
  <c r="S6" i="6"/>
  <c r="J6" i="6"/>
  <c r="Q6" i="6" s="1"/>
  <c r="I6" i="6"/>
  <c r="Y5" i="6"/>
  <c r="W5" i="6"/>
  <c r="U5" i="6"/>
  <c r="S5" i="6"/>
  <c r="J5" i="6"/>
  <c r="Q5" i="6" s="1"/>
  <c r="I5" i="6"/>
  <c r="Y4" i="6"/>
  <c r="W4" i="6"/>
  <c r="U4" i="6"/>
  <c r="S4" i="6"/>
  <c r="J4" i="6"/>
  <c r="Q4" i="6" s="1"/>
  <c r="I4" i="6"/>
  <c r="Y3" i="6"/>
  <c r="W3" i="6"/>
  <c r="U3" i="6"/>
  <c r="S3" i="6"/>
  <c r="J3" i="6"/>
  <c r="Q3" i="6" s="1"/>
  <c r="I3" i="6"/>
  <c r="AF19" i="6" l="1"/>
  <c r="X14" i="6"/>
  <c r="O3" i="6"/>
  <c r="O4" i="6"/>
  <c r="O5" i="6"/>
  <c r="O6" i="6"/>
  <c r="O7" i="6"/>
  <c r="O8" i="6"/>
  <c r="AB17" i="6"/>
  <c r="AF17" i="6" s="1"/>
  <c r="AG19" i="6" s="1"/>
  <c r="AD1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Tam</author>
  </authors>
  <commentList>
    <comment ref="C3" authorId="0" shapeId="0" xr:uid="{81101CDB-76D1-4F6D-BA63-E8E83E75C8A6}">
      <text>
        <r>
          <rPr>
            <b/>
            <sz val="9"/>
            <color indexed="81"/>
            <rFont val="Tahoma"/>
            <family val="2"/>
          </rPr>
          <t>Aptamil Profutura Cesarbiotik 1 Infant Formula (Dành Cho Trẻ Từ 0 – 12 Tháng Tuổi) 800Gx6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 shapeId="0" xr:uid="{FC2935EA-5ACA-4DA1-BE2B-72218E86B0C3}">
      <text>
        <r>
          <rPr>
            <b/>
            <sz val="9"/>
            <color indexed="81"/>
            <rFont val="Tahoma"/>
            <family val="2"/>
          </rPr>
          <t>Aptamil Profutura Cesarbiotik 2 Follow On Formula (Dành Cho Trẻ Từ 12 – 24 Tháng Tuổi) 800Gx6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" authorId="0" shapeId="0" xr:uid="{B2744340-E793-43DF-83CB-1C233E291C25}">
      <text>
        <r>
          <rPr>
            <b/>
            <sz val="9"/>
            <color indexed="81"/>
            <rFont val="Tahoma"/>
            <family val="2"/>
          </rPr>
          <t xml:space="preserve">
Aptamil Profutura Kid Cesarbiotik 3 Growing Up Milk Formula (Dành Cho Trẻ Từ 24 Tháng Tuổi Trở Lên) 800Gx6</t>
        </r>
      </text>
    </comment>
    <comment ref="C6" authorId="0" shapeId="0" xr:uid="{9CE52990-AFB3-4638-A005-3906268FC0E7}">
      <text>
        <r>
          <rPr>
            <b/>
            <sz val="9"/>
            <color indexed="81"/>
            <rFont val="Tahoma"/>
            <family val="2"/>
          </rPr>
          <t>Aptamil Profutura Cesarbiotik 1 Infant Formula (Dành Cho Trẻ Từ 0 – 12 Tháng Tuổi) 380Gx12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786C0A4C-0FBF-4DC2-8FE6-D00DF215E023}">
      <text>
        <r>
          <rPr>
            <b/>
            <sz val="9"/>
            <color indexed="81"/>
            <rFont val="Tahoma"/>
            <family val="2"/>
          </rPr>
          <t>Aptamil 1 Profutura Duobiotik 800 G X 6 Hộp (trẻ từ 0-6 tháng)_21 tháng</t>
        </r>
      </text>
    </comment>
    <comment ref="E7" authorId="0" shapeId="0" xr:uid="{F9ABD3E9-805D-4093-93FB-C6A310F87C77}">
      <text>
        <r>
          <rPr>
            <b/>
            <sz val="9"/>
            <color indexed="81"/>
            <rFont val="Tahoma"/>
            <family val="2"/>
          </rPr>
          <t xml:space="preserve">pallet từ HL về là 72 nhưng storage là 60, vì cao hơn 1,7m không bỏ lọt racking cell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A70A84E6-82FF-48A1-9A52-2569D7CEE617}">
      <text>
        <r>
          <rPr>
            <b/>
            <sz val="9"/>
            <color indexed="81"/>
            <rFont val="Tahoma"/>
            <family val="2"/>
          </rPr>
          <t>Aptamil Profutura Duobiotik 2(Dành Cho Trẻ Từ 6 – 12 Tháng Tuổi) 800G X 6Hộp_24 tháng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4C147979-A962-490B-8380-D33B8367637C}">
      <text>
        <r>
          <rPr>
            <b/>
            <sz val="9"/>
            <color indexed="81"/>
            <rFont val="Tahoma"/>
            <family val="2"/>
          </rPr>
          <t xml:space="preserve">pallet từ HL về là 72 nhưng storage là 60, vì cao hơn 1,7m không bỏ lọt racking cell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" authorId="0" shapeId="0" xr:uid="{29E6AC42-4557-46FB-866A-6C3D6B05D544}">
      <text>
        <r>
          <rPr>
            <b/>
            <sz val="9"/>
            <color indexed="81"/>
            <rFont val="Tahoma"/>
            <family val="2"/>
          </rPr>
          <t xml:space="preserve">
'=&gt; pick and pack with 5 pallets which has the size 1200x1000 to be full the capacity
=&gt; Total 10 pallets</t>
        </r>
      </text>
    </comment>
    <comment ref="U17" authorId="0" shapeId="0" xr:uid="{DE0AC5B8-D1A1-40F2-B4DB-D30B62E672B3}">
      <text>
        <r>
          <rPr>
            <b/>
            <sz val="9"/>
            <color indexed="81"/>
            <rFont val="Tahoma"/>
            <family val="2"/>
          </rPr>
          <t>'=&gt; pick and pack with 10 pallets which has the size 1200x1000 to be full the capacity
=&gt; Total 20 pallets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<sst xmlns="http://schemas.openxmlformats.org/spreadsheetml/2006/main" count="279" uniqueCount="115">
  <si>
    <t>Customer PO</t>
  </si>
  <si>
    <t>SAP Code</t>
  </si>
  <si>
    <t>Desc</t>
  </si>
  <si>
    <t>Batch exp</t>
  </si>
  <si>
    <t>APTAMIL PROFUTURA CESARBIOTIK IF 380G</t>
  </si>
  <si>
    <t>SO</t>
  </si>
  <si>
    <t>Distributor</t>
  </si>
  <si>
    <t>Address</t>
  </si>
  <si>
    <t>Delivery date</t>
  </si>
  <si>
    <t>OB</t>
  </si>
  <si>
    <t>Request to DC</t>
  </si>
  <si>
    <t>Region</t>
  </si>
  <si>
    <t>Type</t>
  </si>
  <si>
    <t>Remark</t>
  </si>
  <si>
    <t>AB</t>
  </si>
  <si>
    <t>`</t>
  </si>
  <si>
    <t>Truck-2 tons</t>
  </si>
  <si>
    <t>Truck-3 tons</t>
  </si>
  <si>
    <t>Truck-5 tons</t>
  </si>
  <si>
    <t>Truck-8 tons</t>
  </si>
  <si>
    <t>Con't-20 ft
load 20,000 kg</t>
  </si>
  <si>
    <t>Con't-40 ft load 25,000 kg</t>
  </si>
  <si>
    <t>Stt</t>
  </si>
  <si>
    <t>item code</t>
  </si>
  <si>
    <t>Item Description</t>
  </si>
  <si>
    <t>Tin/Cartons</t>
  </si>
  <si>
    <t>Ctn (Thùng carton)</t>
  </si>
  <si>
    <t>Pcs/
(1 Pallet)</t>
  </si>
  <si>
    <t>Kg/pcs (Net)</t>
  </si>
  <si>
    <t>Kg/Carton (Gross)</t>
  </si>
  <si>
    <t>Total
(Net kg/Pallet)</t>
  </si>
  <si>
    <t>Total
(Gross kg/Pallet)</t>
  </si>
  <si>
    <t>Length
(mm)</t>
  </si>
  <si>
    <t>Width
(mm)</t>
  </si>
  <si>
    <t>Height
của pallet (mm)</t>
  </si>
  <si>
    <t>Qty Pallet</t>
  </si>
  <si>
    <t>Total weight</t>
  </si>
  <si>
    <t>APTAMIL PROFUTURA CESARBIOTIK IF 800G
(44 pallet=&gt; 1 cont), 70 cartons, 1 carton x6tin</t>
  </si>
  <si>
    <t>APTAMIL PROFUTURA CESARBIOTIK FO 800G (44 pallet=&gt; 1 cont), 70 cartons, 1 carton x6tin</t>
  </si>
  <si>
    <t>APTAKID PROFUTURA CESARBIOTIK GUM 800G (44 pallet=&gt; 1 cont), 70 cartons, 1 carton x6tin</t>
  </si>
  <si>
    <t>APTAMIL PROFUTURA DUOBIOTIK 1, 6X800G (19 pallet=&gt; 1 cont)</t>
  </si>
  <si>
    <t>APTAMIL PROFUTURA DUOBIOTIK 2, 6X800G (19 pallet=&gt; 1 cont)</t>
  </si>
  <si>
    <t>Dimensions</t>
  </si>
  <si>
    <t>No.</t>
  </si>
  <si>
    <t>Type Truck</t>
  </si>
  <si>
    <t>Length (mm)</t>
  </si>
  <si>
    <t>Width (mm)</t>
  </si>
  <si>
    <t>Height (mm)</t>
  </si>
  <si>
    <t>Rate Length</t>
  </si>
  <si>
    <t>Rate Width</t>
  </si>
  <si>
    <t>Rate Hight</t>
  </si>
  <si>
    <t>Pallet</t>
  </si>
  <si>
    <t>Length</t>
  </si>
  <si>
    <t>Width</t>
  </si>
  <si>
    <t>Legngth excess</t>
  </si>
  <si>
    <t>Width excess</t>
  </si>
  <si>
    <t>2 tons</t>
  </si>
  <si>
    <t>5 tons</t>
  </si>
  <si>
    <t>8 tons</t>
  </si>
  <si>
    <t>=&gt; pick and pack with 6 pallets which has the size 1200x1000 to be full the capacity</t>
  </si>
  <si>
    <t>Cont 40ft</t>
  </si>
  <si>
    <t>=&gt; pick and pack with 10 pallets which has the size 1200x1000 to be full the capacity</t>
  </si>
  <si>
    <t>% pick carton</t>
  </si>
  <si>
    <t>Total</t>
  </si>
  <si>
    <t>Size Truck</t>
  </si>
  <si>
    <t>Kg/Car</t>
  </si>
  <si>
    <t>Hoàng Lê Cát Lái</t>
  </si>
  <si>
    <t>Hoàng Đức</t>
  </si>
  <si>
    <t>Hoàng Lê HN</t>
  </si>
  <si>
    <t>Hoàng Lê ĐN</t>
  </si>
  <si>
    <t>Onpoint HN</t>
  </si>
  <si>
    <t>PCS
(Lon)</t>
  </si>
  <si>
    <t>Carton
(Thùng)</t>
  </si>
  <si>
    <t>Ton</t>
  </si>
  <si>
    <t>APTAMIL PROFUTURA CESARBIOTIK FO 800G</t>
  </si>
  <si>
    <t>APTAMIL PROFUTURA CESARBIOTIK IF 800G</t>
  </si>
  <si>
    <t>DN</t>
  </si>
  <si>
    <t>&gt; Người liên hệ nhận hàng: Phạm Đăng Trung - SĐT: 0974003928
&gt; Nơi giao: Kho E11, 934 Bạch Đằng, Phường Vĩnh Tuy, Hà Nội</t>
  </si>
  <si>
    <t>&gt; Người liên hệ nhận hàng: Mr. Khôi - SĐT: 0336830714 
&gt; Nơi giao: Kho xưởng số 9 tại cụm 2, đường M14 – KCN Tân Bình mở rộng, phường Bình Hưng Hòa, quận Bình Tân, TP. Hồ Chí Minh</t>
  </si>
  <si>
    <t>&gt; Người liên hệ nhận hàng: Ms. Huyền Vũ - SĐT: 0349608539
&gt; Nơi giao: Tổ 28, Thị trấn Đông Anh, huyện Đông Anh, TP. Hà Nội</t>
  </si>
  <si>
    <t>&gt; Người liên hệ nhận hàng: Nguyễn Thị Thanh - SĐT: 0919536289
&gt; Nơi giao: Đường CN7 cụm công nghiệp vừa và nhỏ Từ Liêm, xã Dương Hòa, TP Hà Nội</t>
  </si>
  <si>
    <t>&gt; Người liên hệ nhận hàng: Lê Viết Huấn - SĐT: 0795502058
&gt; Nơi giao: Lô M7-M9-M11, Đường A, phường Cát Lái, Thành Phố Hồ Chí Minh</t>
  </si>
  <si>
    <t xml:space="preserve"> &gt; Người liên hệ nhận hàng: Nguyễn Anh Thư  - SĐT: 0354872281
&gt; Nơi giao: Lô N-1c, đường số 04, KCN Long Hậu mở rộng, xã Cần Giuộc, tỉnh Tây Ninh.</t>
  </si>
  <si>
    <t>&gt; Người liên hệ nhận hàng: Anh Hiệp - SĐT: 0777288000 
&gt; Nơi giao: Kho ODN Q7, Số 21 đường D1 khu chế xuất Tân Thuận, Phường Tân Thuận, TP HCM</t>
  </si>
  <si>
    <t xml:space="preserve">Status </t>
  </si>
  <si>
    <t xml:space="preserve"> Area </t>
  </si>
  <si>
    <t xml:space="preserve"> Distributor </t>
  </si>
  <si>
    <t xml:space="preserve"> Customer PO </t>
  </si>
  <si>
    <t xml:space="preserve"> SAP Code </t>
  </si>
  <si>
    <t xml:space="preserve"> Desc </t>
  </si>
  <si>
    <t>&gt; Người liên hệ nhận hàng: Hà Giang - SĐT: 0989594445
&gt; Nơi giao: 38 Hoàng Văn Thái, Phường Hoà Khánh, TP Đà Nẵng</t>
  </si>
  <si>
    <t>Onpoint HCM</t>
  </si>
  <si>
    <t xml:space="preserve"> Batch </t>
  </si>
  <si>
    <t>2028.02.10</t>
  </si>
  <si>
    <t>APTAKID PROFUTURA CESARBIOTIK GUM 800G</t>
  </si>
  <si>
    <t>2028.03.06</t>
  </si>
  <si>
    <t>QTY (cs)</t>
  </si>
  <si>
    <t>PO confirmed</t>
  </si>
  <si>
    <t>2028.02.25</t>
  </si>
  <si>
    <t>2028.03.09</t>
  </si>
  <si>
    <t>Hoang Le</t>
  </si>
  <si>
    <t>QTY (tins)</t>
  </si>
  <si>
    <t>PO1-0626</t>
  </si>
  <si>
    <t xml:space="preserve">         1,330.00 </t>
  </si>
  <si>
    <t xml:space="preserve">         1,015.00 </t>
  </si>
  <si>
    <t xml:space="preserve">              315.00 </t>
  </si>
  <si>
    <t xml:space="preserve">              608.00 </t>
  </si>
  <si>
    <t>South</t>
  </si>
  <si>
    <t xml:space="preserve"> QTY (tins) </t>
  </si>
  <si>
    <t>PO2-0626</t>
  </si>
  <si>
    <t xml:space="preserve">                 25.50 </t>
  </si>
  <si>
    <t>C</t>
  </si>
  <si>
    <t xml:space="preserve">                 38.00 </t>
  </si>
  <si>
    <t xml:space="preserve">              245.00 </t>
  </si>
  <si>
    <t xml:space="preserve">                 90.33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</si>
</sst>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dd/mmm/yyyy"/>
  </numFmts>
  <fonts count="29" x14ac:knownFonts="1">
    <font>
      <sz val="11"/>
      <color theme="1"/>
      <name val="Aptos Narrow"/>
      <family val="2"/>
      <scheme val="minor"/>
    </font>
    <font>
      <b/>
      <sz val="10.5"/>
      <color rgb="FF000000"/>
      <name val="Aptos"/>
      <family val="2"/>
    </font>
    <font>
      <sz val="10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Times New Roman"/>
      <family val="1"/>
    </font>
    <font>
      <b/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1"/>
      <name val="Aptos"/>
      <family val="2"/>
    </font>
    <font>
      <sz val="11"/>
      <name val="Aptos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.5"/>
      <color rgb="FFFF0000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"/>
      <family val="2"/>
    </font>
    <font>
      <sz val="11"/>
      <name val="Aptos Narrow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3" fillId="0" borderId="0"/>
    <xf numFmtId="0" fontId="13" fillId="0" borderId="0"/>
    <xf numFmtId="0" fontId="26" fillId="0" borderId="0"/>
  </cellStyleXfs>
  <cellXfs count="121">
    <xf numFmtId="0" fontId="0" fillId="0" borderId="0" xfId="0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6" borderId="1" xfId="0" applyFont="1" applyFill="1" applyBorder="1" applyAlignment="1">
      <alignment horizontal="centerContinuous" vertical="center"/>
    </xf>
    <xf numFmtId="0" fontId="9" fillId="7" borderId="1" xfId="0" applyFont="1" applyFill="1" applyBorder="1" applyAlignment="1">
      <alignment horizontal="centerContinuous" vertical="center"/>
    </xf>
    <xf numFmtId="0" fontId="9" fillId="6" borderId="1" xfId="0" applyFont="1" applyFill="1" applyBorder="1" applyAlignment="1">
      <alignment horizontal="centerContinuous" vertical="center" wrapText="1"/>
    </xf>
    <xf numFmtId="0" fontId="9" fillId="7" borderId="1" xfId="0" applyFont="1" applyFill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8" borderId="1" xfId="4" applyFont="1" applyFill="1" applyBorder="1" applyAlignment="1">
      <alignment horizontal="center" vertical="center"/>
    </xf>
    <xf numFmtId="0" fontId="8" fillId="0" borderId="1" xfId="5" applyFont="1" applyBorder="1" applyAlignment="1">
      <alignment vertical="center" wrapText="1"/>
    </xf>
    <xf numFmtId="0" fontId="8" fillId="0" borderId="1" xfId="3" applyFont="1" applyBorder="1" applyAlignment="1">
      <alignment horizontal="center" vertical="center" wrapText="1"/>
    </xf>
    <xf numFmtId="43" fontId="8" fillId="0" borderId="1" xfId="1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4" fillId="9" borderId="1" xfId="4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Continuous" vertical="center"/>
    </xf>
    <xf numFmtId="0" fontId="16" fillId="10" borderId="0" xfId="0" applyFont="1" applyFill="1" applyAlignment="1">
      <alignment horizontal="centerContinuous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5" fontId="10" fillId="0" borderId="0" xfId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 wrapText="1"/>
    </xf>
    <xf numFmtId="164" fontId="18" fillId="0" borderId="9" xfId="1" applyNumberFormat="1" applyFont="1" applyBorder="1" applyAlignment="1">
      <alignment horizontal="center" vertical="center" wrapText="1"/>
    </xf>
    <xf numFmtId="164" fontId="18" fillId="0" borderId="0" xfId="1" applyNumberFormat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9" fontId="7" fillId="0" borderId="0" xfId="2" applyFont="1" applyAlignment="1">
      <alignment vertical="center"/>
    </xf>
    <xf numFmtId="164" fontId="14" fillId="0" borderId="9" xfId="1" applyNumberFormat="1" applyFont="1" applyBorder="1" applyAlignment="1">
      <alignment horizontal="center" vertical="center" wrapText="1"/>
    </xf>
    <xf numFmtId="164" fontId="14" fillId="0" borderId="0" xfId="1" applyNumberFormat="1" applyFont="1" applyBorder="1" applyAlignment="1">
      <alignment horizontal="center" vertical="center" wrapText="1"/>
    </xf>
    <xf numFmtId="0" fontId="20" fillId="0" borderId="0" xfId="0" quotePrefix="1" applyFont="1" applyAlignment="1">
      <alignment vertical="center"/>
    </xf>
    <xf numFmtId="0" fontId="19" fillId="4" borderId="0" xfId="0" applyFont="1" applyFill="1" applyAlignment="1">
      <alignment vertical="center"/>
    </xf>
    <xf numFmtId="9" fontId="7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1" applyNumberFormat="1" applyFont="1"/>
    <xf numFmtId="0" fontId="0" fillId="3" borderId="0" xfId="1" applyNumberFormat="1" applyFont="1" applyFill="1"/>
    <xf numFmtId="3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22" fillId="0" borderId="0" xfId="0" applyFont="1"/>
    <xf numFmtId="0" fontId="23" fillId="4" borderId="5" xfId="0" applyFont="1" applyFill="1" applyBorder="1" applyAlignment="1">
      <alignment vertical="center"/>
    </xf>
    <xf numFmtId="0" fontId="22" fillId="0" borderId="5" xfId="0" quotePrefix="1" applyFont="1" applyBorder="1" applyAlignment="1">
      <alignment wrapText="1"/>
    </xf>
    <xf numFmtId="0" fontId="23" fillId="4" borderId="6" xfId="0" applyFont="1" applyFill="1" applyBorder="1" applyAlignment="1">
      <alignment vertical="center"/>
    </xf>
    <xf numFmtId="0" fontId="22" fillId="0" borderId="6" xfId="0" quotePrefix="1" applyFont="1" applyBorder="1" applyAlignment="1">
      <alignment wrapText="1"/>
    </xf>
    <xf numFmtId="0" fontId="23" fillId="4" borderId="7" xfId="0" applyFont="1" applyFill="1" applyBorder="1" applyAlignment="1">
      <alignment vertical="center"/>
    </xf>
    <xf numFmtId="0" fontId="22" fillId="0" borderId="7" xfId="0" quotePrefix="1" applyFont="1" applyBorder="1" applyAlignment="1">
      <alignment wrapText="1"/>
    </xf>
    <xf numFmtId="0" fontId="23" fillId="11" borderId="5" xfId="0" applyFont="1" applyFill="1" applyBorder="1" applyAlignment="1">
      <alignment vertical="center"/>
    </xf>
    <xf numFmtId="0" fontId="23" fillId="11" borderId="7" xfId="0" applyFont="1" applyFill="1" applyBorder="1" applyAlignment="1">
      <alignment vertical="center"/>
    </xf>
    <xf numFmtId="0" fontId="23" fillId="5" borderId="12" xfId="0" applyFont="1" applyFill="1" applyBorder="1" applyAlignment="1">
      <alignment vertical="center"/>
    </xf>
    <xf numFmtId="0" fontId="22" fillId="0" borderId="13" xfId="0" quotePrefix="1" applyFont="1" applyBorder="1" applyAlignment="1">
      <alignment wrapText="1"/>
    </xf>
    <xf numFmtId="164" fontId="12" fillId="0" borderId="0" xfId="1" applyNumberFormat="1" applyFont="1"/>
    <xf numFmtId="164" fontId="12" fillId="3" borderId="0" xfId="1" applyNumberFormat="1" applyFont="1" applyFill="1"/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21" fillId="2" borderId="16" xfId="1" applyNumberFormat="1" applyFont="1" applyFill="1" applyBorder="1" applyAlignment="1">
      <alignment horizontal="center" vertical="center" wrapText="1"/>
    </xf>
    <xf numFmtId="164" fontId="12" fillId="0" borderId="14" xfId="1" applyNumberFormat="1" applyFont="1" applyFill="1" applyBorder="1"/>
    <xf numFmtId="164" fontId="12" fillId="0" borderId="6" xfId="1" applyNumberFormat="1" applyFont="1" applyFill="1" applyBorder="1"/>
    <xf numFmtId="0" fontId="25" fillId="0" borderId="0" xfId="0" applyFont="1" applyAlignment="1">
      <alignment vertical="center"/>
    </xf>
    <xf numFmtId="164" fontId="0" fillId="3" borderId="0" xfId="0" applyNumberFormat="1" applyFill="1"/>
    <xf numFmtId="0" fontId="8" fillId="0" borderId="17" xfId="0" applyFont="1" applyBorder="1"/>
    <xf numFmtId="0" fontId="8" fillId="0" borderId="14" xfId="0" applyFont="1" applyBorder="1"/>
    <xf numFmtId="0" fontId="8" fillId="0" borderId="14" xfId="1" applyNumberFormat="1" applyFont="1" applyFill="1" applyBorder="1"/>
    <xf numFmtId="165" fontId="8" fillId="12" borderId="14" xfId="1" applyNumberFormat="1" applyFont="1" applyFill="1" applyBorder="1"/>
    <xf numFmtId="0" fontId="8" fillId="12" borderId="14" xfId="0" applyFont="1" applyFill="1" applyBorder="1"/>
    <xf numFmtId="0" fontId="8" fillId="0" borderId="18" xfId="0" applyFont="1" applyBorder="1"/>
    <xf numFmtId="0" fontId="8" fillId="0" borderId="6" xfId="0" applyFont="1" applyBorder="1"/>
    <xf numFmtId="0" fontId="8" fillId="0" borderId="6" xfId="1" applyNumberFormat="1" applyFont="1" applyFill="1" applyBorder="1"/>
    <xf numFmtId="165" fontId="8" fillId="12" borderId="6" xfId="1" applyNumberFormat="1" applyFont="1" applyFill="1" applyBorder="1"/>
    <xf numFmtId="0" fontId="8" fillId="12" borderId="6" xfId="0" applyFont="1" applyFill="1" applyBorder="1"/>
    <xf numFmtId="0" fontId="22" fillId="0" borderId="7" xfId="0" quotePrefix="1" applyFont="1" applyBorder="1" applyAlignment="1">
      <alignment vertical="top" wrapText="1"/>
    </xf>
    <xf numFmtId="0" fontId="0" fillId="3" borderId="19" xfId="0" applyFill="1" applyBorder="1"/>
    <xf numFmtId="164" fontId="12" fillId="3" borderId="19" xfId="1" applyNumberFormat="1" applyFont="1" applyFill="1" applyBorder="1"/>
    <xf numFmtId="0" fontId="0" fillId="3" borderId="19" xfId="1" applyNumberFormat="1" applyFont="1" applyFill="1" applyBorder="1"/>
    <xf numFmtId="0" fontId="0" fillId="3" borderId="19" xfId="0" applyFill="1" applyBorder="1" applyAlignment="1">
      <alignment horizontal="center"/>
    </xf>
    <xf numFmtId="0" fontId="6" fillId="3" borderId="19" xfId="0" quotePrefix="1" applyFont="1" applyFill="1" applyBorder="1" applyAlignment="1">
      <alignment vertical="center" wrapText="1"/>
    </xf>
    <xf numFmtId="0" fontId="12" fillId="0" borderId="0" xfId="0" applyFont="1"/>
    <xf numFmtId="0" fontId="9" fillId="3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166" fontId="8" fillId="0" borderId="14" xfId="0" applyNumberFormat="1" applyFont="1" applyBorder="1"/>
    <xf numFmtId="166" fontId="8" fillId="0" borderId="6" xfId="0" applyNumberFormat="1" applyFont="1" applyBorder="1"/>
    <xf numFmtId="0" fontId="12" fillId="3" borderId="19" xfId="0" applyFont="1" applyFill="1" applyBorder="1" applyAlignment="1">
      <alignment horizontal="right"/>
    </xf>
    <xf numFmtId="0" fontId="9" fillId="0" borderId="14" xfId="0" applyFont="1" applyBorder="1" applyAlignment="1">
      <alignment horizontal="center"/>
    </xf>
    <xf numFmtId="0" fontId="22" fillId="0" borderId="5" xfId="0" quotePrefix="1" applyFont="1" applyBorder="1" applyAlignment="1">
      <alignment vertical="top" wrapText="1"/>
    </xf>
    <xf numFmtId="0" fontId="9" fillId="0" borderId="6" xfId="0" applyFont="1" applyBorder="1" applyAlignment="1">
      <alignment horizontal="center"/>
    </xf>
    <xf numFmtId="43" fontId="9" fillId="3" borderId="22" xfId="0" applyNumberFormat="1" applyFont="1" applyFill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27" fillId="0" borderId="8" xfId="0" applyFont="1" applyBorder="1" applyAlignment="1">
      <alignment horizontal="right" vertical="center"/>
    </xf>
    <xf numFmtId="0" fontId="27" fillId="0" borderId="8" xfId="0" applyFont="1" applyBorder="1" applyAlignment="1">
      <alignment horizontal="center" vertical="center"/>
    </xf>
    <xf numFmtId="0" fontId="28" fillId="0" borderId="11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right" vertical="center"/>
    </xf>
    <xf numFmtId="3" fontId="28" fillId="0" borderId="9" xfId="0" applyNumberFormat="1" applyFont="1" applyBorder="1" applyAlignment="1">
      <alignment horizontal="right" vertical="center"/>
    </xf>
    <xf numFmtId="43" fontId="12" fillId="0" borderId="20" xfId="0" applyNumberFormat="1" applyFont="1" applyBorder="1"/>
    <xf numFmtId="0" fontId="12" fillId="0" borderId="8" xfId="0" applyFont="1" applyBorder="1"/>
    <xf numFmtId="0" fontId="12" fillId="4" borderId="6" xfId="0" applyFont="1" applyFill="1" applyBorder="1" applyAlignment="1">
      <alignment horizontal="center"/>
    </xf>
    <xf numFmtId="0" fontId="9" fillId="0" borderId="16" xfId="0" quotePrefix="1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9" fillId="3" borderId="25" xfId="0" quotePrefix="1" applyFont="1" applyFill="1" applyBorder="1" applyAlignment="1">
      <alignment horizontal="left" vertical="center" wrapText="1"/>
    </xf>
    <xf numFmtId="0" fontId="9" fillId="3" borderId="26" xfId="0" quotePrefix="1" applyFont="1" applyFill="1" applyBorder="1" applyAlignment="1">
      <alignment horizontal="left" vertical="center" wrapText="1"/>
    </xf>
  </cellXfs>
  <cellStyles count="7">
    <cellStyle name="Comma" xfId="1" builtinId="3"/>
    <cellStyle name="Normal" xfId="0" builtinId="0"/>
    <cellStyle name="Normal 2" xfId="6" xr:uid="{7BCA177E-7498-4E84-A870-68CEF96D5B09}"/>
    <cellStyle name="Normal 2 4" xfId="3" xr:uid="{89A46823-58EB-43F7-B804-DCBFD29C890A}"/>
    <cellStyle name="Normal_2012 - Bao cao hang den - Bel chilled" xfId="5" xr:uid="{6EE2B4F5-DE9B-486A-A9A4-D2CEF81D7473}"/>
    <cellStyle name="Normal_LOTTE - HAI QUAN 2008" xfId="4" xr:uid="{18EFAE7E-8F48-4526-A872-8AE37C4EB36C}"/>
    <cellStyle name="Percent" xfId="2" builtinId="5"/>
  </cellStyles>
  <dxfs count="6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1D56-054F-420F-B5C6-06AA960BB68D}">
  <sheetPr>
    <tabColor rgb="FF00B050"/>
  </sheetPr>
  <dimension ref="A1:T17"/>
  <sheetViews>
    <sheetView tabSelected="1" zoomScaleNormal="90" workbookViewId="0">
      <pane ySplit="2" topLeftCell="A3" activePane="bottomLeft" state="frozen"/>
      <selection pane="bottomLeft" activeCell="F13" sqref="F13:F14"/>
    </sheetView>
  </sheetViews>
  <sheetFormatPr defaultColWidth="8.81640625" defaultRowHeight="14.5" x14ac:dyDescent="0.35"/>
  <cols>
    <col min="1" max="1" width="3.36328125" style="52" customWidth="1"/>
    <col min="2" max="2" width="7.08984375" style="52" bestFit="1" customWidth="1"/>
    <col min="3" max="3" width="10.90625" style="52" bestFit="1" customWidth="1"/>
    <col min="4" max="4" width="13.1796875" style="52" bestFit="1" customWidth="1"/>
    <col min="5" max="5" width="8.1796875" style="52" customWidth="1"/>
    <col min="6" max="6" width="39.08984375" style="52" bestFit="1" customWidth="1"/>
    <col min="7" max="7" width="10.90625" style="52" customWidth="1"/>
    <col min="8" max="8" width="8.54296875" style="70" bestFit="1" customWidth="1"/>
    <col min="9" max="9" width="10" style="55" bestFit="1" customWidth="1"/>
    <col min="10" max="10" width="6" style="53" customWidth="1"/>
    <col min="11" max="11" width="13.81640625" style="52" customWidth="1"/>
    <col min="12" max="12" width="12.08984375" style="52" customWidth="1"/>
    <col min="13" max="13" width="13.08984375" style="52" customWidth="1"/>
    <col min="14" max="14" width="9.81640625" style="52" customWidth="1"/>
    <col min="15" max="15" width="9.1796875" style="52" customWidth="1"/>
    <col min="16" max="16" width="10" style="52" customWidth="1"/>
    <col min="17" max="17" width="55.81640625" style="52" customWidth="1"/>
    <col min="18" max="18" width="12.1796875" style="52" hidden="1" customWidth="1"/>
    <col min="19" max="16384" width="8.81640625" style="52"/>
  </cols>
  <sheetData>
    <row r="1" spans="1:20" ht="15" thickBot="1" x14ac:dyDescent="0.4">
      <c r="B1"/>
      <c r="C1"/>
      <c r="D1"/>
      <c r="E1"/>
      <c r="F1"/>
      <c r="G1" s="94"/>
      <c r="H1" s="69"/>
      <c r="I1" s="54"/>
      <c r="J1" s="56"/>
      <c r="K1"/>
      <c r="L1"/>
      <c r="M1"/>
      <c r="N1"/>
      <c r="O1"/>
      <c r="P1"/>
      <c r="Q1"/>
    </row>
    <row r="2" spans="1:20" s="51" customFormat="1" ht="29" customHeight="1" thickBot="1" x14ac:dyDescent="0.4">
      <c r="B2" s="71" t="s">
        <v>11</v>
      </c>
      <c r="C2" s="72" t="s">
        <v>6</v>
      </c>
      <c r="D2" s="72" t="s">
        <v>0</v>
      </c>
      <c r="E2" s="72" t="s">
        <v>1</v>
      </c>
      <c r="F2" s="72" t="s">
        <v>2</v>
      </c>
      <c r="G2" s="72" t="s">
        <v>3</v>
      </c>
      <c r="H2" s="73" t="s">
        <v>71</v>
      </c>
      <c r="I2" s="72" t="s">
        <v>5</v>
      </c>
      <c r="J2" s="72" t="s">
        <v>12</v>
      </c>
      <c r="K2" s="72" t="s">
        <v>10</v>
      </c>
      <c r="L2" s="72" t="s">
        <v>9</v>
      </c>
      <c r="M2" s="72" t="s">
        <v>8</v>
      </c>
      <c r="N2" s="72" t="s">
        <v>72</v>
      </c>
      <c r="O2" s="72" t="s">
        <v>65</v>
      </c>
      <c r="P2" s="72" t="s">
        <v>64</v>
      </c>
      <c r="Q2" s="97" t="s">
        <v>7</v>
      </c>
      <c r="R2" s="96" t="s">
        <v>76</v>
      </c>
    </row>
    <row r="3" spans="1:20" ht="14.4" customHeight="1" x14ac:dyDescent="0.35">
      <c r="A3" s="51"/>
      <c r="B3" s="78" t="s">
        <v>107</v>
      </c>
      <c r="C3" s="79" t="s">
        <v>100</v>
      </c>
      <c r="D3" s="79" t="s">
        <v>102</v>
      </c>
      <c r="E3" s="79">
        <v>194403</v>
      </c>
      <c r="F3" s="79" t="s">
        <v>75</v>
      </c>
      <c r="G3" s="79" t="s">
        <v>98</v>
      </c>
      <c r="H3" s="74">
        <v>7980</v>
      </c>
      <c r="I3" s="80">
        <v>43783746</v>
      </c>
      <c r="J3" s="101" t="s">
        <v>14</v>
      </c>
      <c r="K3" s="98">
        <v>46178</v>
      </c>
      <c r="L3" s="98">
        <v>46179</v>
      </c>
      <c r="M3" s="98">
        <v>46179</v>
      </c>
      <c r="N3" s="81">
        <f>H3/_xlfn.XLOOKUP(E3,'Master data'!$B:$B,'Master data'!$D:$D)</f>
        <v>1330</v>
      </c>
      <c r="O3" s="82">
        <f>_xlfn.XLOOKUP(E3,'Master data'!$B:$B,'Master data'!$H:$H)</f>
        <v>6.2</v>
      </c>
      <c r="P3" s="104"/>
      <c r="Q3" s="117" t="s">
        <v>81</v>
      </c>
      <c r="R3" s="119"/>
      <c r="T3" s="77"/>
    </row>
    <row r="4" spans="1:20" x14ac:dyDescent="0.35">
      <c r="A4" s="51"/>
      <c r="B4" s="83" t="s">
        <v>107</v>
      </c>
      <c r="C4" s="84" t="s">
        <v>100</v>
      </c>
      <c r="D4" s="84" t="s">
        <v>102</v>
      </c>
      <c r="E4" s="84">
        <v>194404</v>
      </c>
      <c r="F4" s="84" t="s">
        <v>74</v>
      </c>
      <c r="G4" s="84" t="s">
        <v>93</v>
      </c>
      <c r="H4" s="75">
        <v>6090</v>
      </c>
      <c r="I4" s="85">
        <v>43783746</v>
      </c>
      <c r="J4" s="103" t="s">
        <v>14</v>
      </c>
      <c r="K4" s="99">
        <v>46178</v>
      </c>
      <c r="L4" s="99">
        <v>46179</v>
      </c>
      <c r="M4" s="99">
        <v>46179</v>
      </c>
      <c r="N4" s="86">
        <f>H4/_xlfn.XLOOKUP(E4,'Master data'!$B:$B,'Master data'!$D:$D)</f>
        <v>1015</v>
      </c>
      <c r="O4" s="87">
        <f>_xlfn.XLOOKUP(E4,'Master data'!$B:$B,'Master data'!$H:$H)</f>
        <v>6.2</v>
      </c>
      <c r="P4" s="95"/>
      <c r="Q4" s="118"/>
      <c r="R4" s="120"/>
      <c r="T4" s="77"/>
    </row>
    <row r="5" spans="1:20" x14ac:dyDescent="0.35">
      <c r="A5" s="51"/>
      <c r="B5" s="83" t="s">
        <v>107</v>
      </c>
      <c r="C5" s="84" t="s">
        <v>100</v>
      </c>
      <c r="D5" s="84" t="s">
        <v>102</v>
      </c>
      <c r="E5" s="84">
        <v>194405</v>
      </c>
      <c r="F5" s="84" t="s">
        <v>94</v>
      </c>
      <c r="G5" s="84" t="s">
        <v>95</v>
      </c>
      <c r="H5" s="75">
        <v>1890</v>
      </c>
      <c r="I5" s="85">
        <v>43783746</v>
      </c>
      <c r="J5" s="103" t="s">
        <v>14</v>
      </c>
      <c r="K5" s="99">
        <v>46178</v>
      </c>
      <c r="L5" s="99">
        <v>46179</v>
      </c>
      <c r="M5" s="99">
        <v>46179</v>
      </c>
      <c r="N5" s="86">
        <f>H5/_xlfn.XLOOKUP(E5,'Master data'!$B:$B,'Master data'!$D:$D)</f>
        <v>315</v>
      </c>
      <c r="O5" s="87">
        <f>_xlfn.XLOOKUP(E5,'Master data'!$B:$B,'Master data'!$H:$H)</f>
        <v>6.2</v>
      </c>
      <c r="P5" s="95"/>
      <c r="Q5" s="118"/>
      <c r="R5" s="120"/>
      <c r="T5" s="77"/>
    </row>
    <row r="6" spans="1:20" ht="15" thickBot="1" x14ac:dyDescent="0.4">
      <c r="A6" s="51"/>
      <c r="B6" s="83" t="s">
        <v>107</v>
      </c>
      <c r="C6" s="84" t="s">
        <v>100</v>
      </c>
      <c r="D6" s="84" t="s">
        <v>102</v>
      </c>
      <c r="E6" s="84">
        <v>194402</v>
      </c>
      <c r="F6" s="84" t="s">
        <v>4</v>
      </c>
      <c r="G6" s="84" t="s">
        <v>99</v>
      </c>
      <c r="H6" s="75">
        <v>7296</v>
      </c>
      <c r="I6" s="85">
        <v>43783746</v>
      </c>
      <c r="J6" s="103" t="s">
        <v>14</v>
      </c>
      <c r="K6" s="99">
        <v>46178</v>
      </c>
      <c r="L6" s="99">
        <v>46179</v>
      </c>
      <c r="M6" s="99">
        <v>46179</v>
      </c>
      <c r="N6" s="86">
        <f>H6/_xlfn.XLOOKUP(E6,'Master data'!$B:$B,'Master data'!$D:$D)</f>
        <v>608</v>
      </c>
      <c r="O6" s="87">
        <f>_xlfn.XLOOKUP(E6,'Master data'!$B:$B,'Master data'!$H:$H)</f>
        <v>6.15</v>
      </c>
      <c r="P6" s="95"/>
      <c r="Q6" s="118"/>
      <c r="R6" s="120"/>
      <c r="T6" s="77"/>
    </row>
    <row r="7" spans="1:20" ht="15" thickBot="1" x14ac:dyDescent="0.4">
      <c r="A7" s="51"/>
      <c r="B7" s="89"/>
      <c r="C7" s="89"/>
      <c r="D7" s="89"/>
      <c r="E7" s="89"/>
      <c r="F7" s="89"/>
      <c r="G7" s="100" t="s">
        <v>63</v>
      </c>
      <c r="H7" s="90">
        <f>SUM(H3:H6)</f>
        <v>23256</v>
      </c>
      <c r="I7" s="91"/>
      <c r="J7" s="92"/>
      <c r="K7" s="89"/>
      <c r="L7" s="89"/>
      <c r="M7" s="89"/>
      <c r="N7" s="89"/>
      <c r="O7" s="114">
        <f>SUMPRODUCT(N3:N6,O3:O6)/1000</f>
        <v>20.231200000000001</v>
      </c>
      <c r="P7" s="115" t="s">
        <v>73</v>
      </c>
      <c r="Q7" s="93"/>
      <c r="R7" s="89"/>
    </row>
    <row r="9" spans="1:20" ht="15" thickBot="1" x14ac:dyDescent="0.4"/>
    <row r="10" spans="1:20" s="51" customFormat="1" ht="29" customHeight="1" thickBot="1" x14ac:dyDescent="0.4">
      <c r="B10" s="71" t="s">
        <v>11</v>
      </c>
      <c r="C10" s="72" t="s">
        <v>6</v>
      </c>
      <c r="D10" s="72" t="s">
        <v>0</v>
      </c>
      <c r="E10" s="72" t="s">
        <v>1</v>
      </c>
      <c r="F10" s="72" t="s">
        <v>2</v>
      </c>
      <c r="G10" s="72" t="s">
        <v>3</v>
      </c>
      <c r="H10" s="73" t="s">
        <v>71</v>
      </c>
      <c r="I10" s="72" t="s">
        <v>5</v>
      </c>
      <c r="J10" s="72" t="s">
        <v>12</v>
      </c>
      <c r="K10" s="72" t="s">
        <v>10</v>
      </c>
      <c r="L10" s="72" t="s">
        <v>9</v>
      </c>
      <c r="M10" s="72" t="s">
        <v>8</v>
      </c>
      <c r="N10" s="72" t="s">
        <v>72</v>
      </c>
      <c r="O10" s="72" t="s">
        <v>65</v>
      </c>
      <c r="P10" s="72" t="s">
        <v>64</v>
      </c>
      <c r="Q10" s="97" t="s">
        <v>7</v>
      </c>
      <c r="R10" s="96" t="s">
        <v>76</v>
      </c>
    </row>
    <row r="11" spans="1:20" ht="14.4" customHeight="1" x14ac:dyDescent="0.35">
      <c r="A11" s="51"/>
      <c r="B11" s="78" t="s">
        <v>107</v>
      </c>
      <c r="C11" s="79" t="s">
        <v>100</v>
      </c>
      <c r="D11" s="79" t="s">
        <v>109</v>
      </c>
      <c r="E11" s="79">
        <v>194403</v>
      </c>
      <c r="F11" s="79" t="s">
        <v>75</v>
      </c>
      <c r="G11" s="79" t="s">
        <v>98</v>
      </c>
      <c r="H11" s="74">
        <v>6090</v>
      </c>
      <c r="I11" s="80">
        <v>43785558</v>
      </c>
      <c r="J11" s="101" t="s">
        <v>14</v>
      </c>
      <c r="K11" s="98">
        <v>46178</v>
      </c>
      <c r="L11" s="98">
        <v>46179</v>
      </c>
      <c r="M11" s="98">
        <v>46179</v>
      </c>
      <c r="N11" s="81">
        <f>H11/_xlfn.XLOOKUP(E11,'Master data'!$B:$B,'Master data'!$D:$D)</f>
        <v>1015</v>
      </c>
      <c r="O11" s="82">
        <f>_xlfn.XLOOKUP(E11,'Master data'!$B:$B,'Master data'!$H:$H)</f>
        <v>6.2</v>
      </c>
      <c r="P11" s="104"/>
      <c r="Q11" s="117" t="s">
        <v>81</v>
      </c>
      <c r="R11" s="119"/>
      <c r="T11" s="77"/>
    </row>
    <row r="12" spans="1:20" x14ac:dyDescent="0.35">
      <c r="A12" s="51"/>
      <c r="B12" s="83" t="s">
        <v>107</v>
      </c>
      <c r="C12" s="84" t="s">
        <v>100</v>
      </c>
      <c r="D12" s="84" t="s">
        <v>109</v>
      </c>
      <c r="E12" s="84">
        <v>194403</v>
      </c>
      <c r="F12" s="84" t="s">
        <v>75</v>
      </c>
      <c r="G12" s="84" t="s">
        <v>98</v>
      </c>
      <c r="H12" s="75">
        <v>153</v>
      </c>
      <c r="I12" s="85">
        <v>43785558</v>
      </c>
      <c r="J12" s="116" t="s">
        <v>111</v>
      </c>
      <c r="K12" s="99">
        <v>46178</v>
      </c>
      <c r="L12" s="99">
        <v>46179</v>
      </c>
      <c r="M12" s="99">
        <v>46179</v>
      </c>
      <c r="N12" s="86">
        <f>H12/_xlfn.XLOOKUP(E12,'Master data'!$B:$B,'Master data'!$D:$D)</f>
        <v>25.5</v>
      </c>
      <c r="O12" s="87">
        <f>_xlfn.XLOOKUP(E12,'Master data'!$B:$B,'Master data'!$H:$H)</f>
        <v>6.2</v>
      </c>
      <c r="P12" s="95"/>
      <c r="Q12" s="118"/>
      <c r="R12" s="120"/>
      <c r="T12" s="77"/>
    </row>
    <row r="13" spans="1:20" x14ac:dyDescent="0.35">
      <c r="A13" s="51"/>
      <c r="B13" s="83" t="s">
        <v>107</v>
      </c>
      <c r="C13" s="84" t="s">
        <v>100</v>
      </c>
      <c r="D13" s="84" t="s">
        <v>109</v>
      </c>
      <c r="E13" s="84">
        <v>194404</v>
      </c>
      <c r="F13" s="84" t="s">
        <v>74</v>
      </c>
      <c r="G13" s="84" t="s">
        <v>93</v>
      </c>
      <c r="H13" s="75">
        <v>6090</v>
      </c>
      <c r="I13" s="85">
        <v>43785558</v>
      </c>
      <c r="J13" s="103" t="s">
        <v>14</v>
      </c>
      <c r="K13" s="99">
        <v>46178</v>
      </c>
      <c r="L13" s="99">
        <v>46179</v>
      </c>
      <c r="M13" s="99">
        <v>46179</v>
      </c>
      <c r="N13" s="86">
        <f>H13/_xlfn.XLOOKUP(E13,'Master data'!$B:$B,'Master data'!$D:$D)</f>
        <v>1015</v>
      </c>
      <c r="O13" s="87">
        <f>_xlfn.XLOOKUP(E13,'Master data'!$B:$B,'Master data'!$H:$H)</f>
        <v>6.2</v>
      </c>
      <c r="P13" s="95"/>
      <c r="Q13" s="118"/>
      <c r="R13" s="120"/>
      <c r="T13" s="77"/>
    </row>
    <row r="14" spans="1:20" x14ac:dyDescent="0.35">
      <c r="A14" s="51"/>
      <c r="B14" s="83" t="s">
        <v>107</v>
      </c>
      <c r="C14" s="84" t="s">
        <v>100</v>
      </c>
      <c r="D14" s="84" t="s">
        <v>109</v>
      </c>
      <c r="E14" s="84">
        <v>194404</v>
      </c>
      <c r="F14" s="84" t="s">
        <v>74</v>
      </c>
      <c r="G14" s="84" t="s">
        <v>93</v>
      </c>
      <c r="H14" s="75">
        <v>228</v>
      </c>
      <c r="I14" s="85">
        <v>43785558</v>
      </c>
      <c r="J14" s="116" t="s">
        <v>111</v>
      </c>
      <c r="K14" s="99">
        <v>46178</v>
      </c>
      <c r="L14" s="99">
        <v>46179</v>
      </c>
      <c r="M14" s="99">
        <v>46179</v>
      </c>
      <c r="N14" s="86">
        <f>H14/_xlfn.XLOOKUP(E14,'Master data'!$B:$B,'Master data'!$D:$D)</f>
        <v>38</v>
      </c>
      <c r="O14" s="87">
        <f>_xlfn.XLOOKUP(E14,'Master data'!$B:$B,'Master data'!$H:$H)</f>
        <v>6.2</v>
      </c>
      <c r="P14" s="95"/>
      <c r="Q14" s="118"/>
      <c r="R14" s="120"/>
      <c r="T14" s="77"/>
    </row>
    <row r="15" spans="1:20" x14ac:dyDescent="0.35">
      <c r="A15" s="51"/>
      <c r="B15" s="83" t="s">
        <v>107</v>
      </c>
      <c r="C15" s="84" t="s">
        <v>100</v>
      </c>
      <c r="D15" s="84" t="s">
        <v>109</v>
      </c>
      <c r="E15" s="84">
        <v>194405</v>
      </c>
      <c r="F15" s="84" t="s">
        <v>94</v>
      </c>
      <c r="G15" s="84" t="s">
        <v>95</v>
      </c>
      <c r="H15" s="75">
        <v>1470</v>
      </c>
      <c r="I15" s="85">
        <v>43785558</v>
      </c>
      <c r="J15" s="103" t="s">
        <v>14</v>
      </c>
      <c r="K15" s="99">
        <v>46178</v>
      </c>
      <c r="L15" s="99">
        <v>46179</v>
      </c>
      <c r="M15" s="99">
        <v>46179</v>
      </c>
      <c r="N15" s="86">
        <f>H15/_xlfn.XLOOKUP(E15,'Master data'!$B:$B,'Master data'!$D:$D)</f>
        <v>245</v>
      </c>
      <c r="O15" s="87">
        <f>_xlfn.XLOOKUP(E15,'Master data'!$B:$B,'Master data'!$H:$H)</f>
        <v>6.2</v>
      </c>
      <c r="P15" s="95"/>
      <c r="Q15" s="118"/>
      <c r="R15" s="120"/>
      <c r="T15" s="77"/>
    </row>
    <row r="16" spans="1:20" ht="15" thickBot="1" x14ac:dyDescent="0.4">
      <c r="A16" s="51"/>
      <c r="B16" s="83" t="s">
        <v>107</v>
      </c>
      <c r="C16" s="84" t="s">
        <v>100</v>
      </c>
      <c r="D16" s="84" t="s">
        <v>109</v>
      </c>
      <c r="E16" s="84">
        <v>194405</v>
      </c>
      <c r="F16" s="84" t="s">
        <v>94</v>
      </c>
      <c r="G16" s="84" t="s">
        <v>95</v>
      </c>
      <c r="H16" s="75">
        <v>542</v>
      </c>
      <c r="I16" s="85">
        <v>43785558</v>
      </c>
      <c r="J16" s="116" t="s">
        <v>111</v>
      </c>
      <c r="K16" s="99">
        <v>46178</v>
      </c>
      <c r="L16" s="99">
        <v>46179</v>
      </c>
      <c r="M16" s="99">
        <v>46179</v>
      </c>
      <c r="N16" s="86">
        <f>H16/_xlfn.XLOOKUP(E16,'Master data'!$B:$B,'Master data'!$D:$D)</f>
        <v>90.333333333333329</v>
      </c>
      <c r="O16" s="87">
        <f>_xlfn.XLOOKUP(E16,'Master data'!$B:$B,'Master data'!$H:$H)</f>
        <v>6.2</v>
      </c>
      <c r="P16" s="95"/>
      <c r="Q16" s="118"/>
      <c r="R16" s="120"/>
      <c r="T16" s="77"/>
    </row>
    <row r="17" spans="1:18" ht="15" thickBot="1" x14ac:dyDescent="0.4">
      <c r="A17" s="51"/>
      <c r="B17" s="89"/>
      <c r="C17" s="89"/>
      <c r="D17" s="89"/>
      <c r="E17" s="89"/>
      <c r="F17" s="89"/>
      <c r="G17" s="100" t="s">
        <v>63</v>
      </c>
      <c r="H17" s="90">
        <f>SUM(H11:H16)</f>
        <v>14573</v>
      </c>
      <c r="I17" s="91"/>
      <c r="J17" s="92"/>
      <c r="K17" s="89"/>
      <c r="L17" s="89"/>
      <c r="M17" s="89"/>
      <c r="N17" s="89"/>
      <c r="O17" s="114">
        <f>SUMPRODUCT(N11:N16,O11:O16)/1000</f>
        <v>15.058766666666667</v>
      </c>
      <c r="P17" s="115" t="s">
        <v>73</v>
      </c>
      <c r="Q17" s="93"/>
      <c r="R17" s="89"/>
    </row>
  </sheetData>
  <mergeCells count="4">
    <mergeCell ref="Q3:Q6"/>
    <mergeCell ref="R3:R6"/>
    <mergeCell ref="Q11:Q16"/>
    <mergeCell ref="R11:R16"/>
  </mergeCells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249F-AD84-4F1C-9227-066703F4917D}">
  <dimension ref="A1:AG19"/>
  <sheetViews>
    <sheetView topLeftCell="A2" zoomScale="85" zoomScaleNormal="85" workbookViewId="0">
      <pane xSplit="10" ySplit="1" topLeftCell="K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ColWidth="9.1796875" defaultRowHeight="13" x14ac:dyDescent="0.35"/>
  <cols>
    <col min="1" max="1" width="3.81640625" style="8" customWidth="1"/>
    <col min="2" max="2" width="8.1796875" style="8" bestFit="1" customWidth="1"/>
    <col min="3" max="3" width="48.6328125" style="8" customWidth="1"/>
    <col min="4" max="4" width="11.90625" style="8" customWidth="1"/>
    <col min="5" max="5" width="8.1796875" style="8" customWidth="1"/>
    <col min="6" max="8" width="8.90625" style="8" customWidth="1"/>
    <col min="9" max="9" width="10.81640625" style="8" customWidth="1"/>
    <col min="10" max="10" width="10.1796875" style="8" customWidth="1"/>
    <col min="11" max="11" width="9.6328125" style="8" customWidth="1"/>
    <col min="12" max="12" width="7.36328125" style="8" customWidth="1"/>
    <col min="13" max="13" width="9.453125" style="8" customWidth="1"/>
    <col min="14" max="14" width="7.81640625" style="8" customWidth="1"/>
    <col min="15" max="15" width="8.08984375" style="8" bestFit="1" customWidth="1"/>
    <col min="16" max="16" width="5.90625" style="8" bestFit="1" customWidth="1"/>
    <col min="17" max="17" width="11.1796875" style="8" bestFit="1" customWidth="1"/>
    <col min="18" max="18" width="10.90625" style="8" bestFit="1" customWidth="1"/>
    <col min="19" max="19" width="8.08984375" style="8" bestFit="1" customWidth="1"/>
    <col min="20" max="20" width="5.90625" style="8" bestFit="1" customWidth="1"/>
    <col min="21" max="21" width="8.08984375" style="8" bestFit="1" customWidth="1"/>
    <col min="22" max="22" width="7.453125" style="8" bestFit="1" customWidth="1"/>
    <col min="23" max="23" width="9.1796875" style="8" bestFit="1" customWidth="1"/>
    <col min="24" max="24" width="9.81640625" style="8" bestFit="1" customWidth="1"/>
    <col min="25" max="25" width="9.1796875" style="8" bestFit="1" customWidth="1"/>
    <col min="26" max="26" width="26.81640625" style="8" customWidth="1"/>
    <col min="27" max="27" width="9.1796875" style="8"/>
    <col min="28" max="28" width="12.90625" style="8" customWidth="1"/>
    <col min="29" max="29" width="14.36328125" style="8" customWidth="1"/>
    <col min="30" max="30" width="10.6328125" style="8" customWidth="1"/>
    <col min="31" max="16384" width="9.1796875" style="8"/>
  </cols>
  <sheetData>
    <row r="1" spans="1:32" ht="29" x14ac:dyDescent="0.35">
      <c r="A1" s="1" t="s">
        <v>15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16</v>
      </c>
      <c r="O1" s="3"/>
      <c r="P1" s="4" t="s">
        <v>17</v>
      </c>
      <c r="Q1" s="4"/>
      <c r="R1" s="3" t="s">
        <v>18</v>
      </c>
      <c r="S1" s="3"/>
      <c r="T1" s="4" t="s">
        <v>19</v>
      </c>
      <c r="U1" s="4"/>
      <c r="V1" s="5" t="s">
        <v>20</v>
      </c>
      <c r="W1" s="3"/>
      <c r="X1" s="6" t="s">
        <v>21</v>
      </c>
      <c r="Y1" s="4"/>
      <c r="Z1" s="7" t="s">
        <v>13</v>
      </c>
    </row>
    <row r="2" spans="1:32" s="14" customFormat="1" ht="43.5" x14ac:dyDescent="0.35">
      <c r="A2" s="9" t="s">
        <v>22</v>
      </c>
      <c r="B2" s="9" t="s">
        <v>23</v>
      </c>
      <c r="C2" s="10" t="s">
        <v>24</v>
      </c>
      <c r="D2" s="10" t="s">
        <v>25</v>
      </c>
      <c r="E2" s="10" t="s">
        <v>26</v>
      </c>
      <c r="F2" s="11" t="s">
        <v>27</v>
      </c>
      <c r="G2" s="12" t="s">
        <v>28</v>
      </c>
      <c r="H2" s="12" t="s">
        <v>29</v>
      </c>
      <c r="I2" s="12" t="s">
        <v>30</v>
      </c>
      <c r="J2" s="13" t="s">
        <v>31</v>
      </c>
      <c r="K2" s="12" t="s">
        <v>32</v>
      </c>
      <c r="L2" s="12" t="s">
        <v>33</v>
      </c>
      <c r="M2" s="12" t="s">
        <v>34</v>
      </c>
      <c r="N2" s="12" t="s">
        <v>35</v>
      </c>
      <c r="O2" s="12" t="s">
        <v>36</v>
      </c>
      <c r="P2" s="12" t="s">
        <v>35</v>
      </c>
      <c r="Q2" s="12" t="s">
        <v>36</v>
      </c>
      <c r="R2" s="12" t="s">
        <v>35</v>
      </c>
      <c r="S2" s="12" t="s">
        <v>36</v>
      </c>
      <c r="T2" s="12" t="s">
        <v>35</v>
      </c>
      <c r="U2" s="12" t="s">
        <v>36</v>
      </c>
      <c r="V2" s="12" t="s">
        <v>35</v>
      </c>
      <c r="W2" s="12" t="s">
        <v>36</v>
      </c>
      <c r="X2" s="12" t="s">
        <v>35</v>
      </c>
      <c r="Y2" s="12" t="s">
        <v>36</v>
      </c>
      <c r="Z2" s="11"/>
    </row>
    <row r="3" spans="1:32" ht="29" x14ac:dyDescent="0.35">
      <c r="A3" s="15">
        <v>1</v>
      </c>
      <c r="B3" s="16">
        <v>194403</v>
      </c>
      <c r="C3" s="17" t="s">
        <v>37</v>
      </c>
      <c r="D3" s="17">
        <v>6</v>
      </c>
      <c r="E3" s="17">
        <v>70</v>
      </c>
      <c r="F3" s="18">
        <v>420</v>
      </c>
      <c r="G3" s="18">
        <v>0.8</v>
      </c>
      <c r="H3" s="19">
        <v>6.2</v>
      </c>
      <c r="I3" s="12">
        <f>ROUND(F3*G3,0)</f>
        <v>336</v>
      </c>
      <c r="J3" s="20">
        <f>H3*F3</f>
        <v>2604</v>
      </c>
      <c r="K3" s="21">
        <v>1200</v>
      </c>
      <c r="L3" s="21">
        <v>1000</v>
      </c>
      <c r="M3" s="21">
        <v>1400</v>
      </c>
      <c r="N3" s="22">
        <v>5</v>
      </c>
      <c r="O3" s="23">
        <f>N3*J3</f>
        <v>13020</v>
      </c>
      <c r="P3" s="24">
        <v>7</v>
      </c>
      <c r="Q3" s="23">
        <f>P3*J3</f>
        <v>18228</v>
      </c>
      <c r="R3" s="24">
        <v>11</v>
      </c>
      <c r="S3" s="23">
        <f>R3*J3</f>
        <v>28644</v>
      </c>
      <c r="T3" s="24">
        <v>19</v>
      </c>
      <c r="U3" s="23">
        <f>T3*J3</f>
        <v>49476</v>
      </c>
      <c r="V3" s="24">
        <v>40</v>
      </c>
      <c r="W3" s="23">
        <f>J3*V3</f>
        <v>104160</v>
      </c>
      <c r="X3" s="24">
        <v>58</v>
      </c>
      <c r="Y3" s="23">
        <f>J3*X3</f>
        <v>151032</v>
      </c>
      <c r="Z3" s="25"/>
    </row>
    <row r="4" spans="1:32" ht="29" x14ac:dyDescent="0.35">
      <c r="A4" s="15">
        <v>2</v>
      </c>
      <c r="B4" s="16">
        <v>194404</v>
      </c>
      <c r="C4" s="17" t="s">
        <v>38</v>
      </c>
      <c r="D4" s="17">
        <v>6</v>
      </c>
      <c r="E4" s="17">
        <v>70</v>
      </c>
      <c r="F4" s="18">
        <v>420</v>
      </c>
      <c r="G4" s="18">
        <v>0.8</v>
      </c>
      <c r="H4" s="19">
        <v>6.2</v>
      </c>
      <c r="I4" s="12">
        <f t="shared" ref="I4:I8" si="0">ROUND(F4*G4,0)</f>
        <v>336</v>
      </c>
      <c r="J4" s="20">
        <f t="shared" ref="J4:J8" si="1">ROUND(F4*H4,0)</f>
        <v>2604</v>
      </c>
      <c r="K4" s="21">
        <v>1200</v>
      </c>
      <c r="L4" s="21">
        <v>1000</v>
      </c>
      <c r="M4" s="21">
        <v>1400</v>
      </c>
      <c r="N4" s="22">
        <v>5</v>
      </c>
      <c r="O4" s="23">
        <f t="shared" ref="O4:O8" si="2">N4*J4</f>
        <v>13020</v>
      </c>
      <c r="P4" s="24">
        <v>7</v>
      </c>
      <c r="Q4" s="23">
        <f t="shared" ref="Q4:Q8" si="3">P4*J4</f>
        <v>18228</v>
      </c>
      <c r="R4" s="24">
        <v>11</v>
      </c>
      <c r="S4" s="23">
        <f t="shared" ref="S4:S8" si="4">R4*J4</f>
        <v>28644</v>
      </c>
      <c r="T4" s="24">
        <v>19</v>
      </c>
      <c r="U4" s="23">
        <f t="shared" ref="U4:U8" si="5">T4*J4</f>
        <v>49476</v>
      </c>
      <c r="V4" s="24">
        <v>40</v>
      </c>
      <c r="W4" s="23">
        <f t="shared" ref="W4:W8" si="6">J4*V4</f>
        <v>104160</v>
      </c>
      <c r="X4" s="24">
        <v>58</v>
      </c>
      <c r="Y4" s="23">
        <f t="shared" ref="Y4:Y8" si="7">J4*X4</f>
        <v>151032</v>
      </c>
      <c r="Z4" s="26"/>
    </row>
    <row r="5" spans="1:32" ht="29" x14ac:dyDescent="0.35">
      <c r="A5" s="15">
        <v>3</v>
      </c>
      <c r="B5" s="16">
        <v>194405</v>
      </c>
      <c r="C5" s="17" t="s">
        <v>39</v>
      </c>
      <c r="D5" s="17">
        <v>6</v>
      </c>
      <c r="E5" s="17">
        <v>70</v>
      </c>
      <c r="F5" s="18">
        <v>420</v>
      </c>
      <c r="G5" s="18">
        <v>0.8</v>
      </c>
      <c r="H5" s="19">
        <v>6.2</v>
      </c>
      <c r="I5" s="12">
        <f t="shared" si="0"/>
        <v>336</v>
      </c>
      <c r="J5" s="20">
        <f t="shared" si="1"/>
        <v>2604</v>
      </c>
      <c r="K5" s="21">
        <v>1200</v>
      </c>
      <c r="L5" s="21">
        <v>1000</v>
      </c>
      <c r="M5" s="21">
        <v>1400</v>
      </c>
      <c r="N5" s="22">
        <v>5</v>
      </c>
      <c r="O5" s="23">
        <f t="shared" si="2"/>
        <v>13020</v>
      </c>
      <c r="P5" s="24">
        <v>7</v>
      </c>
      <c r="Q5" s="23">
        <f t="shared" si="3"/>
        <v>18228</v>
      </c>
      <c r="R5" s="24">
        <v>11</v>
      </c>
      <c r="S5" s="23">
        <f t="shared" si="4"/>
        <v>28644</v>
      </c>
      <c r="T5" s="24">
        <v>19</v>
      </c>
      <c r="U5" s="23">
        <f t="shared" si="5"/>
        <v>49476</v>
      </c>
      <c r="V5" s="24">
        <v>40</v>
      </c>
      <c r="W5" s="23">
        <f t="shared" si="6"/>
        <v>104160</v>
      </c>
      <c r="X5" s="24">
        <v>58</v>
      </c>
      <c r="Y5" s="23">
        <f t="shared" si="7"/>
        <v>151032</v>
      </c>
      <c r="Z5" s="26"/>
    </row>
    <row r="6" spans="1:32" ht="15.5" x14ac:dyDescent="0.35">
      <c r="A6" s="15">
        <v>4</v>
      </c>
      <c r="B6" s="16">
        <v>194402</v>
      </c>
      <c r="C6" s="17" t="s">
        <v>4</v>
      </c>
      <c r="D6" s="17">
        <v>12</v>
      </c>
      <c r="E6" s="17">
        <v>56</v>
      </c>
      <c r="F6" s="18">
        <v>672</v>
      </c>
      <c r="G6" s="18">
        <v>0.38</v>
      </c>
      <c r="H6" s="19">
        <v>6.15</v>
      </c>
      <c r="I6" s="12">
        <f t="shared" si="0"/>
        <v>255</v>
      </c>
      <c r="J6" s="20">
        <f t="shared" si="1"/>
        <v>4133</v>
      </c>
      <c r="K6" s="21">
        <v>1200</v>
      </c>
      <c r="L6" s="21">
        <v>1000</v>
      </c>
      <c r="M6" s="21">
        <v>945</v>
      </c>
      <c r="N6" s="22">
        <v>6</v>
      </c>
      <c r="O6" s="23">
        <f t="shared" si="2"/>
        <v>24798</v>
      </c>
      <c r="P6" s="24">
        <v>9</v>
      </c>
      <c r="Q6" s="23">
        <f t="shared" si="3"/>
        <v>37197</v>
      </c>
      <c r="R6" s="24">
        <v>12</v>
      </c>
      <c r="S6" s="23">
        <f t="shared" si="4"/>
        <v>49596</v>
      </c>
      <c r="T6" s="24">
        <v>24</v>
      </c>
      <c r="U6" s="23">
        <f t="shared" si="5"/>
        <v>99192</v>
      </c>
      <c r="V6" s="24">
        <v>40</v>
      </c>
      <c r="W6" s="23">
        <f t="shared" si="6"/>
        <v>165320</v>
      </c>
      <c r="X6" s="24">
        <v>70</v>
      </c>
      <c r="Y6" s="23">
        <f t="shared" si="7"/>
        <v>289310</v>
      </c>
      <c r="Z6" s="26"/>
    </row>
    <row r="7" spans="1:32" ht="29" x14ac:dyDescent="0.35">
      <c r="A7" s="15">
        <v>5</v>
      </c>
      <c r="B7" s="27">
        <v>181858</v>
      </c>
      <c r="C7" s="17" t="s">
        <v>40</v>
      </c>
      <c r="D7" s="17">
        <v>6</v>
      </c>
      <c r="E7" s="17">
        <v>60</v>
      </c>
      <c r="F7" s="18">
        <v>360</v>
      </c>
      <c r="G7" s="18">
        <v>0.8</v>
      </c>
      <c r="H7" s="19">
        <v>6.4</v>
      </c>
      <c r="I7" s="12">
        <f t="shared" si="0"/>
        <v>288</v>
      </c>
      <c r="J7" s="20">
        <f t="shared" si="1"/>
        <v>2304</v>
      </c>
      <c r="K7" s="21">
        <v>1200</v>
      </c>
      <c r="L7" s="21">
        <v>1000</v>
      </c>
      <c r="M7" s="21">
        <v>1710</v>
      </c>
      <c r="N7" s="22">
        <v>5</v>
      </c>
      <c r="O7" s="23">
        <f t="shared" si="2"/>
        <v>11520</v>
      </c>
      <c r="P7" s="24">
        <v>8</v>
      </c>
      <c r="Q7" s="23">
        <f t="shared" si="3"/>
        <v>18432</v>
      </c>
      <c r="R7" s="24">
        <v>13</v>
      </c>
      <c r="S7" s="23">
        <f t="shared" si="4"/>
        <v>29952</v>
      </c>
      <c r="T7" s="24">
        <v>21</v>
      </c>
      <c r="U7" s="23">
        <f t="shared" si="5"/>
        <v>48384</v>
      </c>
      <c r="V7" s="24">
        <v>40</v>
      </c>
      <c r="W7" s="23">
        <f t="shared" si="6"/>
        <v>92160</v>
      </c>
      <c r="X7" s="24">
        <v>65</v>
      </c>
      <c r="Y7" s="23">
        <f t="shared" si="7"/>
        <v>149760</v>
      </c>
      <c r="Z7" s="26"/>
    </row>
    <row r="8" spans="1:32" ht="29" x14ac:dyDescent="0.35">
      <c r="A8" s="15">
        <v>6</v>
      </c>
      <c r="B8" s="27">
        <v>181857</v>
      </c>
      <c r="C8" s="17" t="s">
        <v>41</v>
      </c>
      <c r="D8" s="17">
        <v>6</v>
      </c>
      <c r="E8" s="17">
        <v>60</v>
      </c>
      <c r="F8" s="18">
        <v>360</v>
      </c>
      <c r="G8" s="18">
        <v>0.8</v>
      </c>
      <c r="H8" s="19">
        <v>6.4</v>
      </c>
      <c r="I8" s="12">
        <f t="shared" si="0"/>
        <v>288</v>
      </c>
      <c r="J8" s="20">
        <f t="shared" si="1"/>
        <v>2304</v>
      </c>
      <c r="K8" s="21">
        <v>1200</v>
      </c>
      <c r="L8" s="21">
        <v>1000</v>
      </c>
      <c r="M8" s="21">
        <v>1710</v>
      </c>
      <c r="N8" s="22">
        <v>5</v>
      </c>
      <c r="O8" s="23">
        <f t="shared" si="2"/>
        <v>11520</v>
      </c>
      <c r="P8" s="24">
        <v>8</v>
      </c>
      <c r="Q8" s="23">
        <f t="shared" si="3"/>
        <v>18432</v>
      </c>
      <c r="R8" s="24">
        <v>13</v>
      </c>
      <c r="S8" s="23">
        <f t="shared" si="4"/>
        <v>29952</v>
      </c>
      <c r="T8" s="24">
        <v>21</v>
      </c>
      <c r="U8" s="23">
        <f t="shared" si="5"/>
        <v>48384</v>
      </c>
      <c r="V8" s="24">
        <v>40</v>
      </c>
      <c r="W8" s="23">
        <f t="shared" si="6"/>
        <v>92160</v>
      </c>
      <c r="X8" s="24">
        <v>65</v>
      </c>
      <c r="Y8" s="23">
        <f t="shared" si="7"/>
        <v>149760</v>
      </c>
      <c r="Z8" s="28"/>
    </row>
    <row r="11" spans="1:32" ht="15" x14ac:dyDescent="0.35">
      <c r="F11" s="29"/>
      <c r="H11" s="30"/>
      <c r="I11" s="30" t="s">
        <v>42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32" ht="18" thickBot="1" x14ac:dyDescent="0.4">
      <c r="H12" s="31"/>
      <c r="I12" s="31" t="s">
        <v>42</v>
      </c>
      <c r="J12" s="31"/>
      <c r="K12" s="31"/>
      <c r="L12" s="31"/>
    </row>
    <row r="13" spans="1:32" ht="29.5" thickBot="1" x14ac:dyDescent="0.4">
      <c r="D13" s="8">
        <f>6.15/12</f>
        <v>0.51250000000000007</v>
      </c>
      <c r="H13" s="32" t="s">
        <v>43</v>
      </c>
      <c r="I13" s="33" t="s">
        <v>44</v>
      </c>
      <c r="J13" s="33" t="s">
        <v>45</v>
      </c>
      <c r="K13" s="33" t="s">
        <v>46</v>
      </c>
      <c r="L13" s="33" t="s">
        <v>47</v>
      </c>
      <c r="M13" s="34"/>
      <c r="N13" s="35" t="s">
        <v>48</v>
      </c>
      <c r="O13" s="35"/>
      <c r="P13" s="35"/>
      <c r="Q13" s="35" t="s">
        <v>49</v>
      </c>
      <c r="R13" s="35" t="s">
        <v>50</v>
      </c>
      <c r="S13" s="36"/>
      <c r="T13" s="36"/>
      <c r="U13" s="37" t="s">
        <v>51</v>
      </c>
      <c r="V13" s="36" t="s">
        <v>52</v>
      </c>
      <c r="W13" s="36" t="s">
        <v>53</v>
      </c>
      <c r="X13" s="36" t="s">
        <v>52</v>
      </c>
      <c r="Y13" s="36" t="s">
        <v>53</v>
      </c>
      <c r="Z13" s="36"/>
      <c r="AA13" s="36" t="s">
        <v>54</v>
      </c>
      <c r="AB13" s="36" t="s">
        <v>55</v>
      </c>
    </row>
    <row r="14" spans="1:32" ht="15" thickBot="1" x14ac:dyDescent="0.4">
      <c r="H14" s="38">
        <v>1</v>
      </c>
      <c r="I14" s="39" t="s">
        <v>56</v>
      </c>
      <c r="J14" s="40">
        <v>4220</v>
      </c>
      <c r="K14" s="40">
        <v>1720</v>
      </c>
      <c r="L14" s="40">
        <v>1780</v>
      </c>
      <c r="M14" s="41"/>
      <c r="N14" s="42">
        <f>J14/$K$8</f>
        <v>3.5166666666666666</v>
      </c>
      <c r="O14" s="42"/>
      <c r="P14" s="42"/>
      <c r="Q14" s="42">
        <f>K14/$L$8</f>
        <v>1.72</v>
      </c>
      <c r="R14" s="42">
        <f>L14/$M$8</f>
        <v>1.0409356725146199</v>
      </c>
      <c r="T14" s="43"/>
      <c r="U14" s="43">
        <v>3</v>
      </c>
      <c r="V14" s="44">
        <f>U14*$K$8</f>
        <v>3600</v>
      </c>
      <c r="W14" s="44">
        <f>$L$8</f>
        <v>1000</v>
      </c>
      <c r="X14" s="44">
        <f>W14*$K$8</f>
        <v>1200000</v>
      </c>
      <c r="Y14" s="44">
        <f>$L$8</f>
        <v>1000</v>
      </c>
      <c r="Z14" s="44"/>
      <c r="AA14" s="44">
        <f>J14-V14</f>
        <v>620</v>
      </c>
      <c r="AB14" s="44">
        <f>K14-W14</f>
        <v>720</v>
      </c>
      <c r="AE14" s="45">
        <f>AA14/J14</f>
        <v>0.14691943127962084</v>
      </c>
      <c r="AF14" s="45">
        <f>AB14/K14</f>
        <v>0.41860465116279072</v>
      </c>
    </row>
    <row r="15" spans="1:32" ht="16" thickBot="1" x14ac:dyDescent="0.4">
      <c r="H15" s="38">
        <v>2</v>
      </c>
      <c r="I15" s="39" t="s">
        <v>57</v>
      </c>
      <c r="J15" s="46">
        <v>5700</v>
      </c>
      <c r="K15" s="46">
        <v>2135</v>
      </c>
      <c r="L15" s="46">
        <v>2500</v>
      </c>
      <c r="M15" s="47"/>
      <c r="N15" s="42">
        <f>J15/$K$8</f>
        <v>4.75</v>
      </c>
      <c r="O15" s="42"/>
      <c r="P15" s="42"/>
      <c r="Q15" s="42">
        <f>K15/$L$8</f>
        <v>2.1349999999999998</v>
      </c>
      <c r="R15" s="42">
        <f>L15/$M$8</f>
        <v>1.4619883040935673</v>
      </c>
      <c r="T15" s="43"/>
      <c r="U15" s="43">
        <v>4</v>
      </c>
      <c r="V15" s="44">
        <f>U15*$K$8</f>
        <v>4800</v>
      </c>
      <c r="W15" s="44">
        <f t="shared" ref="W15:Y17" si="8">$L$8</f>
        <v>1000</v>
      </c>
      <c r="X15" s="44">
        <f>W15*$K$8</f>
        <v>1200000</v>
      </c>
      <c r="Y15" s="44">
        <f t="shared" si="8"/>
        <v>1000</v>
      </c>
      <c r="Z15" s="44"/>
      <c r="AA15" s="44">
        <f t="shared" ref="AA15:AB17" si="9">J15-V15</f>
        <v>900</v>
      </c>
      <c r="AB15" s="44">
        <f t="shared" si="9"/>
        <v>1135</v>
      </c>
      <c r="AE15" s="45">
        <f t="shared" ref="AE15:AF17" si="10">AA15/J15</f>
        <v>0.15789473684210525</v>
      </c>
      <c r="AF15" s="45">
        <f t="shared" si="10"/>
        <v>0.53161592505854804</v>
      </c>
    </row>
    <row r="16" spans="1:32" ht="15" thickBot="1" x14ac:dyDescent="0.4">
      <c r="H16" s="38">
        <v>3</v>
      </c>
      <c r="I16" s="39" t="s">
        <v>58</v>
      </c>
      <c r="J16" s="40">
        <v>6900</v>
      </c>
      <c r="K16" s="40">
        <v>2350</v>
      </c>
      <c r="L16" s="40">
        <v>2500</v>
      </c>
      <c r="M16" s="41"/>
      <c r="N16" s="42">
        <f>J16/$K$8</f>
        <v>5.75</v>
      </c>
      <c r="O16" s="42"/>
      <c r="P16" s="42"/>
      <c r="Q16" s="42">
        <f>K16/$L$8</f>
        <v>2.35</v>
      </c>
      <c r="R16" s="42">
        <f>L16/$M$8</f>
        <v>1.4619883040935673</v>
      </c>
      <c r="T16" s="43"/>
      <c r="U16" s="43">
        <v>10</v>
      </c>
      <c r="V16" s="44">
        <f>U16*$K$8</f>
        <v>12000</v>
      </c>
      <c r="W16" s="44">
        <f t="shared" si="8"/>
        <v>1000</v>
      </c>
      <c r="X16" s="44">
        <f>W16*$K$8</f>
        <v>1200000</v>
      </c>
      <c r="Y16" s="44">
        <f t="shared" si="8"/>
        <v>1000</v>
      </c>
      <c r="Z16" s="44"/>
      <c r="AA16" s="44">
        <f t="shared" si="9"/>
        <v>-5100</v>
      </c>
      <c r="AB16" s="44">
        <f t="shared" si="9"/>
        <v>1350</v>
      </c>
      <c r="AC16" s="48" t="s">
        <v>59</v>
      </c>
      <c r="AE16" s="45">
        <f t="shared" si="10"/>
        <v>-0.73913043478260865</v>
      </c>
      <c r="AF16" s="45">
        <f t="shared" si="10"/>
        <v>0.57446808510638303</v>
      </c>
    </row>
    <row r="17" spans="8:33" ht="15" thickBot="1" x14ac:dyDescent="0.4">
      <c r="H17" s="38">
        <v>4</v>
      </c>
      <c r="I17" s="39" t="s">
        <v>60</v>
      </c>
      <c r="J17" s="40">
        <v>12000</v>
      </c>
      <c r="K17" s="40">
        <v>2330</v>
      </c>
      <c r="L17" s="40">
        <v>2600</v>
      </c>
      <c r="M17" s="41"/>
      <c r="N17" s="42">
        <f>J17/$K$8</f>
        <v>10</v>
      </c>
      <c r="O17" s="42"/>
      <c r="P17" s="42"/>
      <c r="Q17" s="42">
        <f>K17/$L$8</f>
        <v>2.33</v>
      </c>
      <c r="R17" s="42">
        <f>L17/$M$8</f>
        <v>1.5204678362573099</v>
      </c>
      <c r="T17" s="43"/>
      <c r="U17" s="43">
        <v>20</v>
      </c>
      <c r="V17" s="44">
        <f>U17*$K$8</f>
        <v>24000</v>
      </c>
      <c r="W17" s="44">
        <f t="shared" si="8"/>
        <v>1000</v>
      </c>
      <c r="X17" s="44">
        <f>W17*$K$8</f>
        <v>1200000</v>
      </c>
      <c r="Y17" s="44">
        <f t="shared" si="8"/>
        <v>1000</v>
      </c>
      <c r="Z17" s="44"/>
      <c r="AA17" s="44">
        <f t="shared" si="9"/>
        <v>-12000</v>
      </c>
      <c r="AB17" s="44">
        <f t="shared" si="9"/>
        <v>1330</v>
      </c>
      <c r="AC17" s="48" t="s">
        <v>61</v>
      </c>
      <c r="AE17" s="45">
        <f t="shared" si="10"/>
        <v>-1</v>
      </c>
      <c r="AF17" s="45">
        <f t="shared" si="10"/>
        <v>0.57081545064377681</v>
      </c>
    </row>
    <row r="19" spans="8:33" x14ac:dyDescent="0.35">
      <c r="AC19" s="49" t="s">
        <v>62</v>
      </c>
      <c r="AD19" s="50">
        <f>ROUNDDOWN(AVERAGE(AF19:AG19),1)</f>
        <v>0</v>
      </c>
      <c r="AF19" s="50">
        <f>AVERAGE(AE14:AE17)</f>
        <v>-0.35857906666522066</v>
      </c>
      <c r="AG19" s="50">
        <f>AVERAGE(AF14:AF17)</f>
        <v>0.52387602799287469</v>
      </c>
    </row>
  </sheetData>
  <conditionalFormatting sqref="B3:B6">
    <cfRule type="expression" dxfId="5" priority="1">
      <formula>#REF!=1</formula>
    </cfRule>
    <cfRule type="expression" dxfId="4" priority="2">
      <formula>#REF!="yes"</formula>
    </cfRule>
  </conditionalFormatting>
  <conditionalFormatting sqref="B3:B8">
    <cfRule type="expression" dxfId="3" priority="3">
      <formula>#REF!=1</formula>
    </cfRule>
    <cfRule type="expression" dxfId="2" priority="4">
      <formula>#REF!="yes"</formula>
    </cfRule>
  </conditionalFormatting>
  <conditionalFormatting sqref="B7:B8 C6:C8 E6:E8">
    <cfRule type="expression" dxfId="1" priority="5">
      <formula>#REF!=1</formula>
    </cfRule>
  </conditionalFormatting>
  <conditionalFormatting sqref="C6:C8 E6:E8 B7:B8">
    <cfRule type="expression" dxfId="0" priority="6">
      <formula>#REF!="yes"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AE5D-CD73-44B5-BDA0-240CC09DF1E6}">
  <dimension ref="B2:L7"/>
  <sheetViews>
    <sheetView workbookViewId="0">
      <selection activeCell="E26" sqref="E26"/>
    </sheetView>
  </sheetViews>
  <sheetFormatPr defaultRowHeight="14.5" x14ac:dyDescent="0.35"/>
  <cols>
    <col min="2" max="2" width="12.90625" customWidth="1"/>
    <col min="4" max="4" width="10.36328125" bestFit="1" customWidth="1"/>
    <col min="5" max="5" width="21.90625" bestFit="1" customWidth="1"/>
    <col min="7" max="7" width="43.08984375" bestFit="1" customWidth="1"/>
    <col min="8" max="8" width="11" bestFit="1" customWidth="1"/>
    <col min="9" max="9" width="14.453125" bestFit="1" customWidth="1"/>
    <col min="10" max="10" width="17" bestFit="1" customWidth="1"/>
    <col min="11" max="11" width="9.90625" bestFit="1" customWidth="1"/>
    <col min="12" max="12" width="8.08984375" bestFit="1" customWidth="1"/>
  </cols>
  <sheetData>
    <row r="2" spans="2:12" ht="15" thickBot="1" x14ac:dyDescent="0.4">
      <c r="B2" s="76"/>
    </row>
    <row r="3" spans="2:12" ht="15" thickBot="1" x14ac:dyDescent="0.4">
      <c r="B3" s="105" t="s">
        <v>84</v>
      </c>
      <c r="C3" s="106" t="s">
        <v>85</v>
      </c>
      <c r="D3" s="106" t="s">
        <v>86</v>
      </c>
      <c r="E3" s="106" t="s">
        <v>87</v>
      </c>
      <c r="F3" s="106" t="s">
        <v>88</v>
      </c>
      <c r="G3" s="106" t="s">
        <v>89</v>
      </c>
      <c r="H3" s="106" t="s">
        <v>92</v>
      </c>
      <c r="I3" s="107" t="s">
        <v>101</v>
      </c>
      <c r="J3" s="107" t="s">
        <v>96</v>
      </c>
      <c r="K3" s="108" t="s">
        <v>5</v>
      </c>
      <c r="L3" s="106" t="s">
        <v>13</v>
      </c>
    </row>
    <row r="4" spans="2:12" ht="15" thickBot="1" x14ac:dyDescent="0.4">
      <c r="B4" s="109" t="s">
        <v>97</v>
      </c>
      <c r="C4" s="110" t="s">
        <v>107</v>
      </c>
      <c r="D4" s="110" t="s">
        <v>100</v>
      </c>
      <c r="E4" s="110" t="s">
        <v>102</v>
      </c>
      <c r="F4" s="111">
        <v>194403</v>
      </c>
      <c r="G4" s="110" t="s">
        <v>75</v>
      </c>
      <c r="H4" s="110" t="s">
        <v>98</v>
      </c>
      <c r="I4" s="113">
        <v>7980</v>
      </c>
      <c r="J4" s="112" t="s">
        <v>103</v>
      </c>
      <c r="K4" s="111">
        <v>43783746</v>
      </c>
      <c r="L4" s="110" t="s">
        <v>14</v>
      </c>
    </row>
    <row r="5" spans="2:12" ht="15" thickBot="1" x14ac:dyDescent="0.4">
      <c r="B5" s="109" t="s">
        <v>97</v>
      </c>
      <c r="C5" s="110" t="s">
        <v>107</v>
      </c>
      <c r="D5" s="110" t="s">
        <v>100</v>
      </c>
      <c r="E5" s="110" t="s">
        <v>102</v>
      </c>
      <c r="F5" s="111">
        <v>194404</v>
      </c>
      <c r="G5" s="110" t="s">
        <v>74</v>
      </c>
      <c r="H5" s="110" t="s">
        <v>93</v>
      </c>
      <c r="I5" s="113">
        <v>6090</v>
      </c>
      <c r="J5" s="112" t="s">
        <v>104</v>
      </c>
      <c r="K5" s="111">
        <v>43783746</v>
      </c>
      <c r="L5" s="110" t="s">
        <v>14</v>
      </c>
    </row>
    <row r="6" spans="2:12" ht="15" thickBot="1" x14ac:dyDescent="0.4">
      <c r="B6" s="109" t="s">
        <v>97</v>
      </c>
      <c r="C6" s="110" t="s">
        <v>107</v>
      </c>
      <c r="D6" s="110" t="s">
        <v>100</v>
      </c>
      <c r="E6" s="110" t="s">
        <v>102</v>
      </c>
      <c r="F6" s="111">
        <v>194405</v>
      </c>
      <c r="G6" s="110" t="s">
        <v>94</v>
      </c>
      <c r="H6" s="110" t="s">
        <v>95</v>
      </c>
      <c r="I6" s="113">
        <v>1890</v>
      </c>
      <c r="J6" s="112" t="s">
        <v>105</v>
      </c>
      <c r="K6" s="111">
        <v>43783746</v>
      </c>
      <c r="L6" s="110" t="s">
        <v>14</v>
      </c>
    </row>
    <row r="7" spans="2:12" ht="15" thickBot="1" x14ac:dyDescent="0.4">
      <c r="B7" s="109" t="s">
        <v>97</v>
      </c>
      <c r="C7" s="110" t="s">
        <v>107</v>
      </c>
      <c r="D7" s="110" t="s">
        <v>100</v>
      </c>
      <c r="E7" s="110" t="s">
        <v>102</v>
      </c>
      <c r="F7" s="111">
        <v>194402</v>
      </c>
      <c r="G7" s="110" t="s">
        <v>4</v>
      </c>
      <c r="H7" s="110" t="s">
        <v>99</v>
      </c>
      <c r="I7" s="113">
        <v>7296</v>
      </c>
      <c r="J7" s="112" t="s">
        <v>106</v>
      </c>
      <c r="K7" s="111">
        <v>43783746</v>
      </c>
      <c r="L7" s="110" t="s">
        <v>14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888B-4A36-4F4B-B046-71EF56980409}">
  <dimension ref="B2:L9"/>
  <sheetViews>
    <sheetView workbookViewId="0">
      <selection activeCell="E26" sqref="E26"/>
    </sheetView>
  </sheetViews>
  <sheetFormatPr defaultRowHeight="14.5" x14ac:dyDescent="0.35"/>
  <cols>
    <col min="2" max="2" width="12.90625" customWidth="1"/>
    <col min="4" max="4" width="10.36328125" bestFit="1" customWidth="1"/>
    <col min="5" max="5" width="21.90625" bestFit="1" customWidth="1"/>
    <col min="7" max="7" width="43.08984375" bestFit="1" customWidth="1"/>
    <col min="8" max="8" width="11" bestFit="1" customWidth="1"/>
    <col min="9" max="9" width="14.453125" bestFit="1" customWidth="1"/>
    <col min="10" max="10" width="17" bestFit="1" customWidth="1"/>
    <col min="11" max="11" width="9.90625" bestFit="1" customWidth="1"/>
    <col min="12" max="12" width="8.08984375" bestFit="1" customWidth="1"/>
  </cols>
  <sheetData>
    <row r="2" spans="2:12" ht="15" thickBot="1" x14ac:dyDescent="0.4">
      <c r="B2" s="76"/>
    </row>
    <row r="3" spans="2:12" ht="15" thickBot="1" x14ac:dyDescent="0.4">
      <c r="B3" s="105" t="s">
        <v>84</v>
      </c>
      <c r="C3" s="106" t="s">
        <v>85</v>
      </c>
      <c r="D3" s="106" t="s">
        <v>86</v>
      </c>
      <c r="E3" s="106" t="s">
        <v>87</v>
      </c>
      <c r="F3" s="106" t="s">
        <v>88</v>
      </c>
      <c r="G3" s="106" t="s">
        <v>89</v>
      </c>
      <c r="H3" s="106" t="s">
        <v>92</v>
      </c>
      <c r="I3" s="107" t="s">
        <v>108</v>
      </c>
      <c r="J3" s="107" t="s">
        <v>96</v>
      </c>
      <c r="K3" s="108" t="s">
        <v>5</v>
      </c>
      <c r="L3" s="106" t="s">
        <v>13</v>
      </c>
    </row>
    <row r="4" spans="2:12" ht="15" thickBot="1" x14ac:dyDescent="0.4">
      <c r="B4" s="109" t="s">
        <v>97</v>
      </c>
      <c r="C4" s="110" t="s">
        <v>107</v>
      </c>
      <c r="D4" s="110" t="s">
        <v>100</v>
      </c>
      <c r="E4" s="110" t="s">
        <v>109</v>
      </c>
      <c r="F4" s="111">
        <v>194403</v>
      </c>
      <c r="G4" s="110" t="s">
        <v>75</v>
      </c>
      <c r="H4" s="110" t="s">
        <v>98</v>
      </c>
      <c r="I4" s="113">
        <v>6090</v>
      </c>
      <c r="J4" s="112" t="s">
        <v>104</v>
      </c>
      <c r="K4" s="111">
        <v>43785558</v>
      </c>
      <c r="L4" s="110" t="s">
        <v>14</v>
      </c>
    </row>
    <row r="5" spans="2:12" ht="15" thickBot="1" x14ac:dyDescent="0.4">
      <c r="B5" s="109" t="s">
        <v>97</v>
      </c>
      <c r="C5" s="110" t="s">
        <v>107</v>
      </c>
      <c r="D5" s="110" t="s">
        <v>100</v>
      </c>
      <c r="E5" s="110" t="s">
        <v>109</v>
      </c>
      <c r="F5" s="111">
        <v>194403</v>
      </c>
      <c r="G5" s="110" t="s">
        <v>75</v>
      </c>
      <c r="H5" s="110" t="s">
        <v>98</v>
      </c>
      <c r="I5" s="112">
        <v>153</v>
      </c>
      <c r="J5" s="112" t="s">
        <v>110</v>
      </c>
      <c r="K5" s="111">
        <v>43785558</v>
      </c>
      <c r="L5" s="110" t="s">
        <v>111</v>
      </c>
    </row>
    <row r="6" spans="2:12" ht="15" thickBot="1" x14ac:dyDescent="0.4">
      <c r="B6" s="109" t="s">
        <v>97</v>
      </c>
      <c r="C6" s="110" t="s">
        <v>107</v>
      </c>
      <c r="D6" s="110" t="s">
        <v>100</v>
      </c>
      <c r="E6" s="110" t="s">
        <v>109</v>
      </c>
      <c r="F6" s="111">
        <v>194404</v>
      </c>
      <c r="G6" s="110" t="s">
        <v>74</v>
      </c>
      <c r="H6" s="110" t="s">
        <v>93</v>
      </c>
      <c r="I6" s="113">
        <v>6090</v>
      </c>
      <c r="J6" s="112" t="s">
        <v>104</v>
      </c>
      <c r="K6" s="111">
        <v>43785558</v>
      </c>
      <c r="L6" s="110" t="s">
        <v>14</v>
      </c>
    </row>
    <row r="7" spans="2:12" ht="15" thickBot="1" x14ac:dyDescent="0.4">
      <c r="B7" s="109" t="s">
        <v>97</v>
      </c>
      <c r="C7" s="110" t="s">
        <v>107</v>
      </c>
      <c r="D7" s="110" t="s">
        <v>100</v>
      </c>
      <c r="E7" s="110" t="s">
        <v>109</v>
      </c>
      <c r="F7" s="111">
        <v>194404</v>
      </c>
      <c r="G7" s="110" t="s">
        <v>74</v>
      </c>
      <c r="H7" s="110" t="s">
        <v>93</v>
      </c>
      <c r="I7" s="112">
        <v>228</v>
      </c>
      <c r="J7" s="112" t="s">
        <v>112</v>
      </c>
      <c r="K7" s="111">
        <v>43785558</v>
      </c>
      <c r="L7" s="110" t="s">
        <v>111</v>
      </c>
    </row>
    <row r="8" spans="2:12" ht="15" thickBot="1" x14ac:dyDescent="0.4">
      <c r="B8" s="109" t="s">
        <v>97</v>
      </c>
      <c r="C8" s="110" t="s">
        <v>107</v>
      </c>
      <c r="D8" s="110" t="s">
        <v>100</v>
      </c>
      <c r="E8" s="110" t="s">
        <v>109</v>
      </c>
      <c r="F8" s="111">
        <v>194405</v>
      </c>
      <c r="G8" s="110" t="s">
        <v>94</v>
      </c>
      <c r="H8" s="110" t="s">
        <v>95</v>
      </c>
      <c r="I8" s="113">
        <v>1470</v>
      </c>
      <c r="J8" s="112" t="s">
        <v>113</v>
      </c>
      <c r="K8" s="111">
        <v>43785558</v>
      </c>
      <c r="L8" s="110" t="s">
        <v>14</v>
      </c>
    </row>
    <row r="9" spans="2:12" ht="15" thickBot="1" x14ac:dyDescent="0.4">
      <c r="B9" s="109" t="s">
        <v>97</v>
      </c>
      <c r="C9" s="110" t="s">
        <v>107</v>
      </c>
      <c r="D9" s="110" t="s">
        <v>100</v>
      </c>
      <c r="E9" s="110" t="s">
        <v>109</v>
      </c>
      <c r="F9" s="111">
        <v>194405</v>
      </c>
      <c r="G9" s="110" t="s">
        <v>94</v>
      </c>
      <c r="H9" s="110" t="s">
        <v>95</v>
      </c>
      <c r="I9" s="112">
        <v>542</v>
      </c>
      <c r="J9" s="112" t="s">
        <v>114</v>
      </c>
      <c r="K9" s="111">
        <v>43785558</v>
      </c>
      <c r="L9" s="110" t="s">
        <v>111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E22E-DB5C-4D23-B4EB-66B10AD43D99}">
  <sheetPr>
    <tabColor rgb="FF0070C0"/>
  </sheetPr>
  <dimension ref="A2:D17"/>
  <sheetViews>
    <sheetView workbookViewId="0">
      <selection activeCell="E26" sqref="E26"/>
    </sheetView>
  </sheetViews>
  <sheetFormatPr defaultRowHeight="14.5" x14ac:dyDescent="0.35"/>
  <cols>
    <col min="2" max="2" width="16" customWidth="1"/>
    <col min="3" max="3" width="73" bestFit="1" customWidth="1"/>
    <col min="4" max="4" width="76.81640625" customWidth="1"/>
  </cols>
  <sheetData>
    <row r="2" spans="1:4" ht="26.5" x14ac:dyDescent="0.35">
      <c r="A2" s="58"/>
      <c r="B2" s="59" t="s">
        <v>68</v>
      </c>
      <c r="C2" s="60" t="s">
        <v>77</v>
      </c>
    </row>
    <row r="3" spans="1:4" ht="26.5" x14ac:dyDescent="0.35">
      <c r="A3" s="58"/>
      <c r="B3" s="61" t="s">
        <v>69</v>
      </c>
      <c r="C3" s="62" t="s">
        <v>90</v>
      </c>
    </row>
    <row r="4" spans="1:4" ht="26" x14ac:dyDescent="0.35">
      <c r="A4" s="58"/>
      <c r="B4" s="63" t="s">
        <v>66</v>
      </c>
      <c r="C4" s="88" t="s">
        <v>81</v>
      </c>
    </row>
    <row r="5" spans="1:4" ht="39.5" x14ac:dyDescent="0.35">
      <c r="A5" s="58"/>
      <c r="B5" s="65" t="s">
        <v>91</v>
      </c>
      <c r="C5" s="102" t="s">
        <v>83</v>
      </c>
      <c r="D5" s="60" t="s">
        <v>78</v>
      </c>
    </row>
    <row r="6" spans="1:4" ht="26.5" x14ac:dyDescent="0.35">
      <c r="A6" s="58"/>
      <c r="B6" s="66" t="s">
        <v>70</v>
      </c>
      <c r="C6" s="64" t="s">
        <v>80</v>
      </c>
      <c r="D6" s="64" t="s">
        <v>79</v>
      </c>
    </row>
    <row r="7" spans="1:4" ht="26.5" x14ac:dyDescent="0.35">
      <c r="A7" s="58"/>
      <c r="B7" s="67" t="s">
        <v>67</v>
      </c>
      <c r="C7" s="68" t="s">
        <v>82</v>
      </c>
    </row>
    <row r="8" spans="1:4" x14ac:dyDescent="0.35">
      <c r="B8" s="57"/>
    </row>
    <row r="9" spans="1:4" x14ac:dyDescent="0.35">
      <c r="B9" s="57"/>
    </row>
    <row r="10" spans="1:4" x14ac:dyDescent="0.35">
      <c r="B10" s="57"/>
    </row>
    <row r="11" spans="1:4" x14ac:dyDescent="0.35">
      <c r="B11" s="57"/>
    </row>
    <row r="12" spans="1:4" x14ac:dyDescent="0.35">
      <c r="B12" s="57"/>
    </row>
    <row r="13" spans="1:4" x14ac:dyDescent="0.35">
      <c r="B13" s="57"/>
    </row>
    <row r="14" spans="1:4" x14ac:dyDescent="0.35">
      <c r="B14" s="57"/>
    </row>
    <row r="15" spans="1:4" x14ac:dyDescent="0.35">
      <c r="B15" s="57"/>
    </row>
    <row r="16" spans="1:4" x14ac:dyDescent="0.35">
      <c r="B16" s="57"/>
    </row>
    <row r="17" spans="2:2" x14ac:dyDescent="0.35">
      <c r="B17" s="5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71f93c-9935-46f3-83c7-0ee45f40cc46">
      <Terms xmlns="http://schemas.microsoft.com/office/infopath/2007/PartnerControls"/>
    </lcf76f155ced4ddcb4097134ff3c332f>
    <TaxCatchAll xmlns="fbbcc733-362e-45f8-a41b-1c2eddb78e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A5B8F6D306145A7C22687AD460A14" ma:contentTypeVersion="13" ma:contentTypeDescription="Create a new document." ma:contentTypeScope="" ma:versionID="7ca145bf75b9dc32b6bfed3e0e01106c">
  <xsd:schema xmlns:xsd="http://www.w3.org/2001/XMLSchema" xmlns:xs="http://www.w3.org/2001/XMLSchema" xmlns:p="http://schemas.microsoft.com/office/2006/metadata/properties" xmlns:ns2="2b71f93c-9935-46f3-83c7-0ee45f40cc46" xmlns:ns3="fbbcc733-362e-45f8-a41b-1c2eddb78e13" targetNamespace="http://schemas.microsoft.com/office/2006/metadata/properties" ma:root="true" ma:fieldsID="4ea970514f04df15d051b802ed7bfade" ns2:_="" ns3:_="">
    <xsd:import namespace="2b71f93c-9935-46f3-83c7-0ee45f40cc46"/>
    <xsd:import namespace="fbbcc733-362e-45f8-a41b-1c2eddb78e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1f93c-9935-46f3-83c7-0ee45f40c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cc733-362e-45f8-a41b-1c2eddb78e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fb2f66-4e64-4836-8bc3-3607b88b95a2}" ma:internalName="TaxCatchAll" ma:showField="CatchAllData" ma:web="fbbcc733-362e-45f8-a41b-1c2eddb78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F6C60-CD63-4A80-821B-90406191F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4DA36-310A-48FF-A575-A75EDC20FDC5}">
  <ds:schemaRefs>
    <ds:schemaRef ds:uri="http://schemas.microsoft.com/office/2006/metadata/properties"/>
    <ds:schemaRef ds:uri="http://schemas.microsoft.com/office/infopath/2007/PartnerControls"/>
    <ds:schemaRef ds:uri="2b71f93c-9935-46f3-83c7-0ee45f40cc46"/>
    <ds:schemaRef ds:uri="fbbcc733-362e-45f8-a41b-1c2eddb78e13"/>
  </ds:schemaRefs>
</ds:datastoreItem>
</file>

<file path=customXml/itemProps3.xml><?xml version="1.0" encoding="utf-8"?>
<ds:datastoreItem xmlns:ds="http://schemas.openxmlformats.org/officeDocument/2006/customXml" ds:itemID="{687E90A3-808E-4927-B62E-27293125B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71f93c-9935-46f3-83c7-0ee45f40cc46"/>
    <ds:schemaRef ds:uri="fbbcc733-362e-45f8-a41b-1c2eddb78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05.06.2026</vt:lpstr>
      <vt:lpstr>Master data</vt:lpstr>
      <vt:lpstr>PO1-0626</vt:lpstr>
      <vt:lpstr>PO2-0626</vt:lpstr>
      <vt:lpstr>List address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Thao</dc:creator>
  <cp:lastModifiedBy>An Nguyễn Bá</cp:lastModifiedBy>
  <dcterms:created xsi:type="dcterms:W3CDTF">2026-01-02T04:34:53Z</dcterms:created>
  <dcterms:modified xsi:type="dcterms:W3CDTF">2026-06-06T02:02:41Z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0x010100CD2A5B8F6D306145A7C22687AD460A14</vt:lpwstr>
  </property>
  <property fmtid="{D5CDD505-2E9C-101B-9397-08002B2CF9AE}" pid="3" name="MediaServiceImageTags">
    <vt:lpwstr/>
  </property>
  <property fmtid="{D5CDD505-2E9C-101B-9397-08002B2CF9AE}" pid="4" name="MSIP_Label_455b24b8-e69b-4583-bfd0-d64b5cee0119_Enabled">
    <vt:lpwstr>true</vt:lpwstr>
  </property>
  <property fmtid="{D5CDD505-2E9C-101B-9397-08002B2CF9AE}" pid="5" name="MSIP_Label_455b24b8-e69b-4583-bfd0-d64b5cee0119_SetDate">
    <vt:lpwstr>2026-06-05T01:51:39Z</vt:lpwstr>
  </property>
  <property fmtid="{D5CDD505-2E9C-101B-9397-08002B2CF9AE}" pid="6" name="MSIP_Label_455b24b8-e69b-4583-bfd0-d64b5cee0119_Method">
    <vt:lpwstr>Privileged</vt:lpwstr>
  </property>
  <property fmtid="{D5CDD505-2E9C-101B-9397-08002B2CF9AE}" pid="7" name="MSIP_Label_455b24b8-e69b-4583-bfd0-d64b5cee0119_Name">
    <vt:lpwstr>Public</vt:lpwstr>
  </property>
  <property fmtid="{D5CDD505-2E9C-101B-9397-08002B2CF9AE}" pid="8" name="MSIP_Label_455b24b8-e69b-4583-bfd0-d64b5cee0119_SiteId">
    <vt:lpwstr>05d75c05-fa1a-42e7-9cf1-eb416c396f2d</vt:lpwstr>
  </property>
  <property fmtid="{D5CDD505-2E9C-101B-9397-08002B2CF9AE}" pid="9" name="MSIP_Label_455b24b8-e69b-4583-bfd0-d64b5cee0119_ActionId">
    <vt:lpwstr>94fa455d-b128-42e6-ab88-229893025a74</vt:lpwstr>
  </property>
  <property fmtid="{D5CDD505-2E9C-101B-9397-08002B2CF9AE}" pid="10" name="MSIP_Label_455b24b8-e69b-4583-bfd0-d64b5cee0119_ContentBits">
    <vt:lpwstr>0</vt:lpwstr>
  </property>
  <property fmtid="{D5CDD505-2E9C-101B-9397-08002B2CF9AE}" pid="11" name="MSIP_Label_455b24b8-e69b-4583-bfd0-d64b5cee0119_Tag">
    <vt:lpwstr>10, 0, 1, 1</vt:lpwstr>
  </property>
</Properties>
</file>