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MSI\Desktop\Generate ASN\Master Data\Goods specification\"/>
    </mc:Choice>
  </mc:AlternateContent>
  <xr:revisionPtr revIDLastSave="0" documentId="13_ncr:1_{C103D147-1104-495B-A4DE-1C9863E73A9F}" xr6:coauthVersionLast="47" xr6:coauthVersionMax="47" xr10:uidLastSave="{00000000-0000-0000-0000-000000000000}"/>
  <bookViews>
    <workbookView xWindow="-108" yWindow="-108" windowWidth="23256" windowHeight="12576" xr2:uid="{8429CE9C-FE7A-429F-9E04-FECBEAE101EF}"/>
  </bookViews>
  <sheets>
    <sheet name="Data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8" l="1"/>
  <c r="I8" i="8"/>
  <c r="H8" i="8"/>
  <c r="I7" i="8"/>
  <c r="H7" i="8"/>
  <c r="I6" i="8"/>
  <c r="H6" i="8"/>
  <c r="I5" i="8"/>
  <c r="H5" i="8"/>
  <c r="I4" i="8"/>
  <c r="H4" i="8"/>
  <c r="I3" i="8"/>
</calcChain>
</file>

<file path=xl/sharedStrings.xml><?xml version="1.0" encoding="utf-8"?>
<sst xmlns="http://schemas.openxmlformats.org/spreadsheetml/2006/main" count="21" uniqueCount="20">
  <si>
    <t>Aptamil frofutura cesarbiotik FO 800g (AP 2)</t>
  </si>
  <si>
    <t>Aptamil frofutura cesarbiotik GUM 800g (AP 3)</t>
  </si>
  <si>
    <t>Aptamil frofutura cesarbiotik IF 800g (AP 1- 800g)</t>
  </si>
  <si>
    <t>Aptamil frofutura cesarbiotik IF 380g (AP 1- 380g)</t>
  </si>
  <si>
    <t>Aptamil frofutura doubiotik 1 - 800g</t>
  </si>
  <si>
    <t>Aptamil frofutura doubiotik 2 - 800g</t>
  </si>
  <si>
    <t>lon/thùng</t>
  </si>
  <si>
    <t>lon/pallet</t>
  </si>
  <si>
    <t>thùng/pallet</t>
  </si>
  <si>
    <t>cân nặng thùng</t>
  </si>
  <si>
    <t>cân nặng lon</t>
  </si>
  <si>
    <t>item code</t>
  </si>
  <si>
    <t>pcs/case</t>
  </si>
  <si>
    <t>pcs/pallet</t>
  </si>
  <si>
    <t>case/pallet</t>
  </si>
  <si>
    <t>weight case</t>
  </si>
  <si>
    <t>weight pcs</t>
  </si>
  <si>
    <t>cân nặng pallet</t>
  </si>
  <si>
    <t>weigt pallet</t>
  </si>
  <si>
    <t>Item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</si>
</sst>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FD946-1C72-4324-9E3B-C4ACC6367F16}">
  <dimension ref="A1:I9"/>
  <sheetViews>
    <sheetView tabSelected="1" workbookViewId="0">
      <selection activeCell="G6" sqref="G6"/>
    </sheetView>
  </sheetViews>
  <sheetFormatPr defaultRowHeight="13.8" x14ac:dyDescent="0.25"/>
  <cols>
    <col min="1" max="1" width="8.77734375" style="5" bestFit="1" customWidth="1"/>
    <col min="2" max="2" width="42.77734375" style="5" bestFit="1" customWidth="1"/>
    <col min="3" max="5" width="8.44140625" style="5" bestFit="1" customWidth="1"/>
    <col min="6" max="6" width="10.21875" style="5" bestFit="1" customWidth="1"/>
    <col min="7" max="7" width="13.21875" style="5" bestFit="1" customWidth="1"/>
    <col min="8" max="8" width="12.88671875" style="5" bestFit="1" customWidth="1"/>
    <col min="9" max="9" width="11.109375" style="5" bestFit="1" customWidth="1"/>
    <col min="10" max="16384" width="8.88671875" style="1"/>
  </cols>
  <sheetData>
    <row r="1" spans="1:9" ht="19.8" customHeight="1" x14ac:dyDescent="0.25">
      <c r="A1" s="2"/>
      <c r="B1" s="2"/>
      <c r="C1" s="2" t="s">
        <v>6</v>
      </c>
      <c r="D1" s="2" t="s">
        <v>7</v>
      </c>
      <c r="E1" s="2"/>
      <c r="F1" s="2" t="s">
        <v>8</v>
      </c>
      <c r="G1" s="2" t="s">
        <v>9</v>
      </c>
      <c r="H1" s="2" t="s">
        <v>17</v>
      </c>
      <c r="I1" s="2" t="s">
        <v>10</v>
      </c>
    </row>
    <row r="2" spans="1:9" ht="19.8" customHeight="1" x14ac:dyDescent="0.25">
      <c r="A2" s="2" t="s">
        <v>11</v>
      </c>
      <c r="B2" s="2" t="s">
        <v>19</v>
      </c>
      <c r="C2" s="3" t="s">
        <v>12</v>
      </c>
      <c r="D2" s="2" t="s">
        <v>13</v>
      </c>
      <c r="E2" s="2" t="s">
        <v>13</v>
      </c>
      <c r="F2" s="3" t="s">
        <v>14</v>
      </c>
      <c r="G2" s="2" t="s">
        <v>15</v>
      </c>
      <c r="H2" s="2" t="s">
        <v>18</v>
      </c>
      <c r="I2" s="3" t="s">
        <v>16</v>
      </c>
    </row>
    <row r="3" spans="1:9" ht="19.8" customHeight="1" x14ac:dyDescent="0.25">
      <c r="A3" s="2">
        <v>194403</v>
      </c>
      <c r="B3" s="2" t="s">
        <v>2</v>
      </c>
      <c r="C3" s="2">
        <v>6</v>
      </c>
      <c r="D3" s="2">
        <v>420</v>
      </c>
      <c r="E3" s="2"/>
      <c r="F3" s="2">
        <v>70</v>
      </c>
      <c r="G3" s="2">
        <v>6.2</v>
      </c>
      <c r="H3" s="2">
        <f>F3*G3</f>
        <v>434</v>
      </c>
      <c r="I3" s="4">
        <f>G3/C3</f>
        <v>1.0333333333333334</v>
      </c>
    </row>
    <row r="4" spans="1:9" ht="19.8" customHeight="1" x14ac:dyDescent="0.25">
      <c r="A4" s="2">
        <v>194404</v>
      </c>
      <c r="B4" s="2" t="s">
        <v>0</v>
      </c>
      <c r="C4" s="2">
        <v>6</v>
      </c>
      <c r="D4" s="2">
        <v>420</v>
      </c>
      <c r="E4" s="2">
        <v>360</v>
      </c>
      <c r="F4" s="2">
        <v>70</v>
      </c>
      <c r="G4" s="2">
        <v>6.2</v>
      </c>
      <c r="H4" s="2">
        <f t="shared" ref="H4:H8" si="0">F4*G4</f>
        <v>434</v>
      </c>
      <c r="I4" s="4">
        <f t="shared" ref="I4:I8" si="1">G4/C4</f>
        <v>1.0333333333333334</v>
      </c>
    </row>
    <row r="5" spans="1:9" ht="19.8" customHeight="1" x14ac:dyDescent="0.25">
      <c r="A5" s="2">
        <v>194405</v>
      </c>
      <c r="B5" s="2" t="s">
        <v>1</v>
      </c>
      <c r="C5" s="2">
        <v>6</v>
      </c>
      <c r="D5" s="2">
        <v>420</v>
      </c>
      <c r="E5" s="2"/>
      <c r="F5" s="2">
        <v>70</v>
      </c>
      <c r="G5" s="2">
        <v>6.2</v>
      </c>
      <c r="H5" s="2">
        <f t="shared" si="0"/>
        <v>434</v>
      </c>
      <c r="I5" s="4">
        <f t="shared" si="1"/>
        <v>1.0333333333333334</v>
      </c>
    </row>
    <row r="6" spans="1:9" ht="19.8" customHeight="1" x14ac:dyDescent="0.25">
      <c r="A6" s="2">
        <v>194402</v>
      </c>
      <c r="B6" s="2" t="s">
        <v>3</v>
      </c>
      <c r="C6" s="2">
        <v>12</v>
      </c>
      <c r="D6" s="2">
        <v>864</v>
      </c>
      <c r="E6" s="2"/>
      <c r="F6" s="2">
        <v>72</v>
      </c>
      <c r="G6" s="2">
        <v>6.15</v>
      </c>
      <c r="H6" s="2">
        <f t="shared" si="0"/>
        <v>442.8</v>
      </c>
      <c r="I6" s="4">
        <f t="shared" si="1"/>
        <v>0.51250000000000007</v>
      </c>
    </row>
    <row r="7" spans="1:9" ht="19.8" customHeight="1" x14ac:dyDescent="0.25">
      <c r="A7" s="2">
        <v>181858</v>
      </c>
      <c r="B7" s="2" t="s">
        <v>4</v>
      </c>
      <c r="C7" s="2">
        <v>6</v>
      </c>
      <c r="D7" s="2">
        <v>360</v>
      </c>
      <c r="E7" s="2"/>
      <c r="F7" s="2">
        <v>60</v>
      </c>
      <c r="G7" s="2">
        <v>6.4</v>
      </c>
      <c r="H7" s="2">
        <f t="shared" si="0"/>
        <v>384</v>
      </c>
      <c r="I7" s="4">
        <f t="shared" si="1"/>
        <v>1.0666666666666667</v>
      </c>
    </row>
    <row r="8" spans="1:9" ht="19.8" customHeight="1" x14ac:dyDescent="0.25">
      <c r="A8" s="2">
        <v>181857</v>
      </c>
      <c r="B8" s="2" t="s">
        <v>5</v>
      </c>
      <c r="C8" s="2">
        <v>6</v>
      </c>
      <c r="D8" s="2">
        <v>360</v>
      </c>
      <c r="E8" s="2"/>
      <c r="F8" s="2">
        <v>60</v>
      </c>
      <c r="G8" s="2">
        <v>6.4</v>
      </c>
      <c r="H8" s="2">
        <f t="shared" si="0"/>
        <v>384</v>
      </c>
      <c r="I8" s="4">
        <f t="shared" si="1"/>
        <v>1.0666666666666667</v>
      </c>
    </row>
    <row r="9" spans="1:9" x14ac:dyDescent="0.25">
      <c r="I9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Tuyen Giang Nguyen</dc:creator>
  <cp:lastModifiedBy>Nguyễn Bá An</cp:lastModifiedBy>
  <cp:lastPrinted>2026-01-20T09:10:17Z</cp:lastPrinted>
  <dcterms:created xsi:type="dcterms:W3CDTF">2025-11-20T03:47:43Z</dcterms:created>
  <dcterms:modified xsi:type="dcterms:W3CDTF">2026-05-20T13:44:20Z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55b24b8-e69b-4583-bfd0-d64b5cee0119_Enabled">
    <vt:lpwstr>true</vt:lpwstr>
  </property>
  <property fmtid="{D5CDD505-2E9C-101B-9397-08002B2CF9AE}" pid="3" name="MSIP_Label_455b24b8-e69b-4583-bfd0-d64b5cee0119_SetDate">
    <vt:lpwstr>2025-11-20T03:56:32Z</vt:lpwstr>
  </property>
  <property fmtid="{D5CDD505-2E9C-101B-9397-08002B2CF9AE}" pid="4" name="MSIP_Label_455b24b8-e69b-4583-bfd0-d64b5cee0119_Method">
    <vt:lpwstr>Privileged</vt:lpwstr>
  </property>
  <property fmtid="{D5CDD505-2E9C-101B-9397-08002B2CF9AE}" pid="5" name="MSIP_Label_455b24b8-e69b-4583-bfd0-d64b5cee0119_Name">
    <vt:lpwstr>Public</vt:lpwstr>
  </property>
  <property fmtid="{D5CDD505-2E9C-101B-9397-08002B2CF9AE}" pid="6" name="MSIP_Label_455b24b8-e69b-4583-bfd0-d64b5cee0119_SiteId">
    <vt:lpwstr>05d75c05-fa1a-42e7-9cf1-eb416c396f2d</vt:lpwstr>
  </property>
  <property fmtid="{D5CDD505-2E9C-101B-9397-08002B2CF9AE}" pid="7" name="MSIP_Label_455b24b8-e69b-4583-bfd0-d64b5cee0119_ActionId">
    <vt:lpwstr>76744d6a-6a84-4747-a3f3-71022b8bce7e</vt:lpwstr>
  </property>
  <property fmtid="{D5CDD505-2E9C-101B-9397-08002B2CF9AE}" pid="8" name="MSIP_Label_455b24b8-e69b-4583-bfd0-d64b5cee0119_ContentBits">
    <vt:lpwstr>0</vt:lpwstr>
  </property>
  <property fmtid="{D5CDD505-2E9C-101B-9397-08002B2CF9AE}" pid="9" name="MSIP_Label_455b24b8-e69b-4583-bfd0-d64b5cee0119_Tag">
    <vt:lpwstr>10, 0, 1, 1</vt:lpwstr>
  </property>
</Properties>
</file>